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Profil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hh:mm"/>
    <numFmt numFmtId="166" formatCode="£#,##0"/>
    <numFmt numFmtId="167" formatCode="0.0%"/>
    <numFmt numFmtId="168" formatCode="+£#,##0;-£#,##0;£0"/>
    <numFmt numFmtId="169" formatCode="+0.0%;-0.0%;0.0%"/>
  </numFmts>
  <fonts count="8">
    <font>
      <name val="Calibri"/>
      <family val="2"/>
      <color theme="1"/>
      <sz val="11"/>
      <scheme val="minor"/>
    </font>
    <font>
      <b val="1"/>
      <color rgb="000F766E"/>
      <sz val="16"/>
    </font>
    <font>
      <b val="1"/>
      <color rgb="000F766E"/>
    </font>
    <font>
      <b val="1"/>
      <color rgb="00FFFFFF"/>
    </font>
    <font>
      <b val="1"/>
    </font>
    <font>
      <b val="1"/>
      <color rgb="000F766E"/>
      <sz val="14"/>
    </font>
    <font>
      <b val="1"/>
      <sz val="12"/>
    </font>
    <font>
      <color rgb="00B4530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8DC"/>
      </patternFill>
    </fill>
    <fill>
      <patternFill patternType="solid">
        <fgColor rgb="00F0F2EE"/>
      </patternFill>
    </fill>
    <fill>
      <patternFill patternType="solid">
        <fgColor rgb="00FDECD0"/>
      </patternFill>
    </fill>
  </fills>
  <borders count="2">
    <border>
      <left/>
      <right/>
      <top/>
      <bottom/>
      <diagonal/>
    </border>
    <border>
      <left style="thin">
        <color rgb="00D5DBD6"/>
      </left>
      <right style="thin">
        <color rgb="00D5DBD6"/>
      </right>
      <top style="thin">
        <color rgb="00D5DBD6"/>
      </top>
      <bottom style="thin">
        <color rgb="00D5DB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6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7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3" borderId="1" pivotButton="0" quotePrefix="0" xfId="0"/>
    <xf numFmtId="0" fontId="4" fillId="4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5803D"/>
      </font>
    </dxf>
    <dxf>
      <font>
        <b val="1"/>
        <color rgb="00B91C1C"/>
      </font>
    </dxf>
    <dxf>
      <fill>
        <patternFill patternType="solid">
          <fgColor rgb="00FDEC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Controlled car-insurance quote test</t>
        </is>
      </c>
    </row>
    <row r="2">
      <c r="A2" s="2" t="inlineStr">
        <is>
          <t>Purpose: find out which answers really move the price, and which differences are just noise. Information only. Use DUMMY personal data. Never buy on a test quote.</t>
        </is>
      </c>
    </row>
    <row r="3">
      <c r="A3" s="2" t="inlineStr"/>
    </row>
    <row r="4">
      <c r="A4" s="3" t="inlineStr">
        <is>
          <t>RULES</t>
        </is>
      </c>
    </row>
    <row r="5">
      <c r="A5" s="2" t="inlineStr">
        <is>
          <t>1. Use dummy details (a made-up name, a real-looking but fake date of birth and address). Do not use a real identity, and never go on to buy.</t>
        </is>
      </c>
    </row>
    <row r="6">
      <c r="A6" s="2" t="inlineStr">
        <is>
          <t>2. Fill in the 'Profile' sheet once. Keep every answer identical across all runs, except the single change being tested.</t>
        </is>
      </c>
    </row>
    <row r="7">
      <c r="A7" s="2" t="inlineStr">
        <is>
          <t>3. Change ONE thing per run. Start each run from the baseline profile again.</t>
        </is>
      </c>
    </row>
    <row r="8">
      <c r="A8" s="2" t="inlineStr">
        <is>
          <t>4. Use the same comparison site, in a private window, in one sitting (aim for under 2 hours). Prices drift by day and by time.</t>
        </is>
      </c>
    </row>
    <row r="9">
      <c r="A9" s="2" t="inlineStr">
        <is>
          <t>5. Record the cheapest price AND the insurer that gave it. If the insurer changes between runs, the gap may be the insurer, not your change.</t>
        </is>
      </c>
    </row>
    <row r="10">
      <c r="A10" s="2" t="inlineStr">
        <is>
          <t>6. Run the baseline several times (the plan has 4: start, middle, end). The spread between them is the NOISE level. Treat smaller gaps as noise.</t>
        </is>
      </c>
    </row>
    <row r="11">
      <c r="A11" s="2" t="inlineStr">
        <is>
          <t>7. Each change is planned twice. If the two runs disagree a lot, do not trust that result.</t>
        </is>
      </c>
    </row>
    <row r="12">
      <c r="A12" s="2" t="inlineStr">
        <is>
          <t>8. Use the same quote type each time. Record the cheapest comprehensive annual price with no black box, unless the row says otherwise.</t>
        </is>
      </c>
    </row>
    <row r="13">
      <c r="A13" s="2" t="inlineStr">
        <is>
          <t>9. Rows marked TEST ONLY (for example name changes) are to learn how the form behaves. Never publish them as tips and never buy on them.</t>
        </is>
      </c>
    </row>
    <row r="14">
      <c r="A14" s="2" t="inlineStr"/>
    </row>
    <row r="15">
      <c r="A15" s="3" t="inlineStr">
        <is>
          <t>HOW TO USE</t>
        </is>
      </c>
    </row>
    <row r="16">
      <c r="A16" s="2" t="inlineStr">
        <is>
          <t>a. Profile sheet: fill the yellow cells.</t>
        </is>
      </c>
    </row>
    <row r="17">
      <c r="A17" s="2" t="inlineStr">
        <is>
          <t>b. Runs sheet: work down the rows in order. Fill the yellow cells (Date, Time, Site, Price, Insurer, Total excess, Notes). The plan and change labels are already filled in.</t>
        </is>
      </c>
    </row>
    <row r="18">
      <c r="A18" s="2" t="inlineStr">
        <is>
          <t>c. Summary sheet: updates by itself. It shows the noise level, the effect of each change, and a verdict.</t>
        </is>
      </c>
    </row>
    <row r="19">
      <c r="A19" s="2" t="inlineStr">
        <is>
          <t>d. Copy the baseline and the 'Avg price' of each change into the Explorer page on the website to see the chart.</t>
        </is>
      </c>
    </row>
    <row r="20">
      <c r="A20" s="2" t="inlineStr"/>
    </row>
    <row r="21">
      <c r="A21" s="2" t="inlineStr">
        <is>
          <t>The verdict compares each change with the noise level (the larger of 5% or your observed baseline spread).</t>
        </is>
      </c>
    </row>
    <row r="22">
      <c r="A22" s="2" t="inlineStr">
        <is>
          <t>Re-run at least once a quarter. Insurance prices move quickly.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40" customWidth="1" min="8" max="8"/>
  </cols>
  <sheetData>
    <row r="1">
      <c r="A1" s="4" t="inlineStr">
        <is>
          <t>Summary (updates automatically)</t>
        </is>
      </c>
    </row>
    <row r="3">
      <c r="A3" s="5" t="inlineStr">
        <is>
          <t>Baseline average (£/yr)</t>
        </is>
      </c>
      <c r="C3" s="6">
        <f>IFERROR(AVERAGE(Runs!$N$2:$N$47),"")</f>
        <v/>
      </c>
    </row>
    <row r="4">
      <c r="A4" s="5" t="inlineStr">
        <is>
          <t>Baseline runs recorded</t>
        </is>
      </c>
      <c r="C4" s="7">
        <f>COUNT(Runs!$N$2:$N$47)</f>
        <v/>
      </c>
      <c r="D4" s="8">
        <f>IF(C4&lt;3,"Record at least 3 baseline runs to trust the noise level.","")</f>
        <v/>
      </c>
    </row>
    <row r="5">
      <c r="A5" s="5" t="inlineStr">
        <is>
          <t>Noise: baseline spread (max-min)/avg</t>
        </is>
      </c>
      <c r="C5" s="9">
        <f>IFERROR((MAX(Runs!$N$2:$N$47)-MIN(Runs!$N$2:$N$47))/AVERAGE(Runs!$N$2:$N$47),"")</f>
        <v/>
      </c>
    </row>
    <row r="6">
      <c r="A6" s="5" t="inlineStr">
        <is>
          <t>Noise threshold used (larger of 5% and spread)</t>
        </is>
      </c>
      <c r="C6" s="9">
        <f>IF(ISNUMBER(C5),MAX(0.05,C5),0.05)</f>
        <v/>
      </c>
    </row>
    <row r="8" ht="34" customHeight="1">
      <c r="A8" s="10" t="inlineStr">
        <is>
          <t>Change</t>
        </is>
      </c>
      <c r="B8" s="10" t="inlineStr">
        <is>
          <t>Runs</t>
        </is>
      </c>
      <c r="C8" s="10" t="inlineStr">
        <is>
          <t>Avg price (£)</t>
        </is>
      </c>
      <c r="D8" s="10" t="inlineStr">
        <is>
          <t>Change (£)</t>
        </is>
      </c>
      <c r="E8" s="10" t="inlineStr">
        <is>
          <t>Change (%)</t>
        </is>
      </c>
      <c r="F8" s="10" t="inlineStr">
        <is>
          <t>Runs disagree by</t>
        </is>
      </c>
      <c r="G8" s="10" t="inlineStr">
        <is>
          <t>Verdict</t>
        </is>
      </c>
      <c r="H8" s="10" t="inlineStr">
        <is>
          <t>Plan note</t>
        </is>
      </c>
    </row>
    <row r="9">
      <c r="A9" s="11" t="inlineStr">
        <is>
          <t>Add parent 1 as a named driver</t>
        </is>
      </c>
      <c r="B9" s="11">
        <f>COUNTIFS(Runs!$C$2:$C$47,A9,Runs!$G$2:$G$47,"&gt;0")</f>
        <v/>
      </c>
      <c r="C9" s="12">
        <f>IFERROR(AVERAGEIFS(Runs!$G$2:$G$47,Runs!$C$2:$C$47,A9),"")</f>
        <v/>
      </c>
      <c r="D9" s="13">
        <f>IF(AND(ISNUMBER(C9),ISNUMBER($C$3)),C9-$C$3,"")</f>
        <v/>
      </c>
      <c r="E9" s="14">
        <f>IF(ISNUMBER(D9),D9/$C$3,"")</f>
        <v/>
      </c>
      <c r="F9" s="15">
        <f>IF(B9&lt;2,"",(SUMPRODUCT(MAX((Runs!$C$2:$C$47=A9)*(Runs!$G$2:$G$47&gt;0)*Runs!$G$2:$G$47))-(1000000000-SUMPRODUCT(MAX((Runs!$C$2:$C$47=A9)*(Runs!$G$2:$G$47&gt;0)*(1000000000-Runs!$G$2:$G$47)))))/C9)</f>
        <v/>
      </c>
      <c r="G9" s="11">
        <f>IF(NOT(ISNUMBER(E9)),"No data",IF(ISNUMBER(F9),IF(F9&gt;$C$6,"Repeats disagree: ",""),"")&amp;IF(ABS(E9)&lt;$C$6,"Within noise",IF(E9&lt;0,"Cheaper","Dearer")))</f>
        <v/>
      </c>
      <c r="H9" s="16" t="inlineStr">
        <is>
          <t>Only if they would genuinely drive</t>
        </is>
      </c>
    </row>
    <row r="10">
      <c r="A10" s="11" t="inlineStr">
        <is>
          <t>Add parent 2 as a named driver</t>
        </is>
      </c>
      <c r="B10" s="11">
        <f>COUNTIFS(Runs!$C$2:$C$47,A10,Runs!$G$2:$G$47,"&gt;0")</f>
        <v/>
      </c>
      <c r="C10" s="12">
        <f>IFERROR(AVERAGEIFS(Runs!$G$2:$G$47,Runs!$C$2:$C$47,A10),"")</f>
        <v/>
      </c>
      <c r="D10" s="13">
        <f>IF(AND(ISNUMBER(C10),ISNUMBER($C$3)),C10-$C$3,"")</f>
        <v/>
      </c>
      <c r="E10" s="14">
        <f>IF(ISNUMBER(D10),D10/$C$3,"")</f>
        <v/>
      </c>
      <c r="F10" s="15">
        <f>IF(B10&lt;2,"",(SUMPRODUCT(MAX((Runs!$C$2:$C$47=A10)*(Runs!$G$2:$G$47&gt;0)*Runs!$G$2:$G$47))-(1000000000-SUMPRODUCT(MAX((Runs!$C$2:$C$47=A10)*(Runs!$G$2:$G$47&gt;0)*(1000000000-Runs!$G$2:$G$47)))))/C10)</f>
        <v/>
      </c>
      <c r="G10" s="11">
        <f>IF(NOT(ISNUMBER(E10)),"No data",IF(ISNUMBER(F10),IF(F10&gt;$C$6,"Repeats disagree: ",""),"")&amp;IF(ABS(E10)&lt;$C$6,"Within noise",IF(E10&lt;0,"Cheaper","Dearer")))</f>
        <v/>
      </c>
      <c r="H10" s="16" t="inlineStr">
        <is>
          <t>Only if they would genuinely drive</t>
        </is>
      </c>
    </row>
    <row r="11">
      <c r="A11" s="11" t="inlineStr">
        <is>
          <t>Add both parents as named drivers</t>
        </is>
      </c>
      <c r="B11" s="11">
        <f>COUNTIFS(Runs!$C$2:$C$47,A11,Runs!$G$2:$G$47,"&gt;0")</f>
        <v/>
      </c>
      <c r="C11" s="12">
        <f>IFERROR(AVERAGEIFS(Runs!$G$2:$G$47,Runs!$C$2:$C$47,A11),"")</f>
        <v/>
      </c>
      <c r="D11" s="13">
        <f>IF(AND(ISNUMBER(C11),ISNUMBER($C$3)),C11-$C$3,"")</f>
        <v/>
      </c>
      <c r="E11" s="14">
        <f>IF(ISNUMBER(D11),D11/$C$3,"")</f>
        <v/>
      </c>
      <c r="F11" s="15">
        <f>IF(B11&lt;2,"",(SUMPRODUCT(MAX((Runs!$C$2:$C$47=A11)*(Runs!$G$2:$G$47&gt;0)*Runs!$G$2:$G$47))-(1000000000-SUMPRODUCT(MAX((Runs!$C$2:$C$47=A11)*(Runs!$G$2:$G$47&gt;0)*(1000000000-Runs!$G$2:$G$47)))))/C11)</f>
        <v/>
      </c>
      <c r="G11" s="11">
        <f>IF(NOT(ISNUMBER(E11)),"No data",IF(ISNUMBER(F11),IF(F11&gt;$C$6,"Repeats disagree: ",""),"")&amp;IF(ABS(E11)&lt;$C$6,"Within noise",IF(E11&lt;0,"Cheaper","Dearer")))</f>
        <v/>
      </c>
      <c r="H11" s="16" t="inlineStr">
        <is>
          <t>Only if they would genuinely drive</t>
        </is>
      </c>
    </row>
    <row r="12">
      <c r="A12" s="11" t="inlineStr">
        <is>
          <t>Vehicle value +10%</t>
        </is>
      </c>
      <c r="B12" s="11">
        <f>COUNTIFS(Runs!$C$2:$C$47,A12,Runs!$G$2:$G$47,"&gt;0")</f>
        <v/>
      </c>
      <c r="C12" s="12">
        <f>IFERROR(AVERAGEIFS(Runs!$G$2:$G$47,Runs!$C$2:$C$47,A12),"")</f>
        <v/>
      </c>
      <c r="D12" s="13">
        <f>IF(AND(ISNUMBER(C12),ISNUMBER($C$3)),C12-$C$3,"")</f>
        <v/>
      </c>
      <c r="E12" s="14">
        <f>IF(ISNUMBER(D12),D12/$C$3,"")</f>
        <v/>
      </c>
      <c r="F12" s="15">
        <f>IF(B12&lt;2,"",(SUMPRODUCT(MAX((Runs!$C$2:$C$47=A12)*(Runs!$G$2:$G$47&gt;0)*Runs!$G$2:$G$47))-(1000000000-SUMPRODUCT(MAX((Runs!$C$2:$C$47=A12)*(Runs!$G$2:$G$47&gt;0)*(1000000000-Runs!$G$2:$G$47)))))/C12)</f>
        <v/>
      </c>
      <c r="G12" s="11">
        <f>IF(NOT(ISNUMBER(E12)),"No data",IF(ISNUMBER(F12),IF(F12&gt;$C$6,"Repeats disagree: ",""),"")&amp;IF(ABS(E12)&lt;$C$6,"Within noise",IF(E12&lt;0,"Cheaper","Dearer")))</f>
        <v/>
      </c>
      <c r="H12" s="16" t="inlineStr"/>
    </row>
    <row r="13">
      <c r="A13" s="11" t="inlineStr">
        <is>
          <t>Vehicle value -10%</t>
        </is>
      </c>
      <c r="B13" s="11">
        <f>COUNTIFS(Runs!$C$2:$C$47,A13,Runs!$G$2:$G$47,"&gt;0")</f>
        <v/>
      </c>
      <c r="C13" s="12">
        <f>IFERROR(AVERAGEIFS(Runs!$G$2:$G$47,Runs!$C$2:$C$47,A13),"")</f>
        <v/>
      </c>
      <c r="D13" s="13">
        <f>IF(AND(ISNUMBER(C13),ISNUMBER($C$3)),C13-$C$3,"")</f>
        <v/>
      </c>
      <c r="E13" s="14">
        <f>IF(ISNUMBER(D13),D13/$C$3,"")</f>
        <v/>
      </c>
      <c r="F13" s="15">
        <f>IF(B13&lt;2,"",(SUMPRODUCT(MAX((Runs!$C$2:$C$47=A13)*(Runs!$G$2:$G$47&gt;0)*Runs!$G$2:$G$47))-(1000000000-SUMPRODUCT(MAX((Runs!$C$2:$C$47=A13)*(Runs!$G$2:$G$47&gt;0)*(1000000000-Runs!$G$2:$G$47)))))/C13)</f>
        <v/>
      </c>
      <c r="G13" s="11">
        <f>IF(NOT(ISNUMBER(E13)),"No data",IF(ISNUMBER(F13),IF(F13&gt;$C$6,"Repeats disagree: ",""),"")&amp;IF(ABS(E13)&lt;$C$6,"Within noise",IF(E13&lt;0,"Cheaper","Dearer")))</f>
        <v/>
      </c>
      <c r="H13" s="16" t="inlineStr"/>
    </row>
    <row r="14">
      <c r="A14" s="11" t="inlineStr">
        <is>
          <t>Add a tracker</t>
        </is>
      </c>
      <c r="B14" s="11">
        <f>COUNTIFS(Runs!$C$2:$C$47,A14,Runs!$G$2:$G$47,"&gt;0")</f>
        <v/>
      </c>
      <c r="C14" s="12">
        <f>IFERROR(AVERAGEIFS(Runs!$G$2:$G$47,Runs!$C$2:$C$47,A14),"")</f>
        <v/>
      </c>
      <c r="D14" s="13">
        <f>IF(AND(ISNUMBER(C14),ISNUMBER($C$3)),C14-$C$3,"")</f>
        <v/>
      </c>
      <c r="E14" s="14">
        <f>IF(ISNUMBER(D14),D14/$C$3,"")</f>
        <v/>
      </c>
      <c r="F14" s="15">
        <f>IF(B14&lt;2,"",(SUMPRODUCT(MAX((Runs!$C$2:$C$47=A14)*(Runs!$G$2:$G$47&gt;0)*Runs!$G$2:$G$47))-(1000000000-SUMPRODUCT(MAX((Runs!$C$2:$C$47=A14)*(Runs!$G$2:$G$47&gt;0)*(1000000000-Runs!$G$2:$G$47)))))/C14)</f>
        <v/>
      </c>
      <c r="G14" s="11">
        <f>IF(NOT(ISNUMBER(E14)),"No data",IF(ISNUMBER(F14),IF(F14&gt;$C$6,"Repeats disagree: ",""),"")&amp;IF(ABS(E14)&lt;$C$6,"Within noise",IF(E14&lt;0,"Cheaper","Dearer")))</f>
        <v/>
      </c>
      <c r="H14" s="16" t="inlineStr"/>
    </row>
    <row r="15">
      <c r="A15" s="11" t="inlineStr">
        <is>
          <t>Annual mileage -40%</t>
        </is>
      </c>
      <c r="B15" s="11">
        <f>COUNTIFS(Runs!$C$2:$C$47,A15,Runs!$G$2:$G$47,"&gt;0")</f>
        <v/>
      </c>
      <c r="C15" s="12">
        <f>IFERROR(AVERAGEIFS(Runs!$G$2:$G$47,Runs!$C$2:$C$47,A15),"")</f>
        <v/>
      </c>
      <c r="D15" s="13">
        <f>IF(AND(ISNUMBER(C15),ISNUMBER($C$3)),C15-$C$3,"")</f>
        <v/>
      </c>
      <c r="E15" s="14">
        <f>IF(ISNUMBER(D15),D15/$C$3,"")</f>
        <v/>
      </c>
      <c r="F15" s="15">
        <f>IF(B15&lt;2,"",(SUMPRODUCT(MAX((Runs!$C$2:$C$47=A15)*(Runs!$G$2:$G$47&gt;0)*Runs!$G$2:$G$47))-(1000000000-SUMPRODUCT(MAX((Runs!$C$2:$C$47=A15)*(Runs!$G$2:$G$47&gt;0)*(1000000000-Runs!$G$2:$G$47)))))/C15)</f>
        <v/>
      </c>
      <c r="G15" s="11">
        <f>IF(NOT(ISNUMBER(E15)),"No data",IF(ISNUMBER(F15),IF(F15&gt;$C$6,"Repeats disagree: ",""),"")&amp;IF(ABS(E15)&lt;$C$6,"Within noise",IF(E15&lt;0,"Cheaper","Dearer")))</f>
        <v/>
      </c>
      <c r="H15" s="16" t="inlineStr"/>
    </row>
    <row r="16">
      <c r="A16" s="11" t="inlineStr">
        <is>
          <t>Annual mileage +40%</t>
        </is>
      </c>
      <c r="B16" s="11">
        <f>COUNTIFS(Runs!$C$2:$C$47,A16,Runs!$G$2:$G$47,"&gt;0")</f>
        <v/>
      </c>
      <c r="C16" s="12">
        <f>IFERROR(AVERAGEIFS(Runs!$G$2:$G$47,Runs!$C$2:$C$47,A16),"")</f>
        <v/>
      </c>
      <c r="D16" s="13">
        <f>IF(AND(ISNUMBER(C16),ISNUMBER($C$3)),C16-$C$3,"")</f>
        <v/>
      </c>
      <c r="E16" s="14">
        <f>IF(ISNUMBER(D16),D16/$C$3,"")</f>
        <v/>
      </c>
      <c r="F16" s="15">
        <f>IF(B16&lt;2,"",(SUMPRODUCT(MAX((Runs!$C$2:$C$47=A16)*(Runs!$G$2:$G$47&gt;0)*Runs!$G$2:$G$47))-(1000000000-SUMPRODUCT(MAX((Runs!$C$2:$C$47=A16)*(Runs!$G$2:$G$47&gt;0)*(1000000000-Runs!$G$2:$G$47)))))/C16)</f>
        <v/>
      </c>
      <c r="G16" s="11">
        <f>IF(NOT(ISNUMBER(E16)),"No data",IF(ISNUMBER(F16),IF(F16&gt;$C$6,"Repeats disagree: ",""),"")&amp;IF(ABS(E16)&lt;$C$6,"Within noise",IF(E16&lt;0,"Cheaper","Dearer")))</f>
        <v/>
      </c>
      <c r="H16" s="16" t="inlineStr"/>
    </row>
    <row r="17">
      <c r="A17" s="11" t="inlineStr">
        <is>
          <t>Voluntary excess +£250</t>
        </is>
      </c>
      <c r="B17" s="11">
        <f>COUNTIFS(Runs!$C$2:$C$47,A17,Runs!$G$2:$G$47,"&gt;0")</f>
        <v/>
      </c>
      <c r="C17" s="12">
        <f>IFERROR(AVERAGEIFS(Runs!$G$2:$G$47,Runs!$C$2:$C$47,A17),"")</f>
        <v/>
      </c>
      <c r="D17" s="13">
        <f>IF(AND(ISNUMBER(C17),ISNUMBER($C$3)),C17-$C$3,"")</f>
        <v/>
      </c>
      <c r="E17" s="14">
        <f>IF(ISNUMBER(D17),D17/$C$3,"")</f>
        <v/>
      </c>
      <c r="F17" s="15">
        <f>IF(B17&lt;2,"",(SUMPRODUCT(MAX((Runs!$C$2:$C$47=A17)*(Runs!$G$2:$G$47&gt;0)*Runs!$G$2:$G$47))-(1000000000-SUMPRODUCT(MAX((Runs!$C$2:$C$47=A17)*(Runs!$G$2:$G$47&gt;0)*(1000000000-Runs!$G$2:$G$47)))))/C17)</f>
        <v/>
      </c>
      <c r="G17" s="11">
        <f>IF(NOT(ISNUMBER(E17)),"No data",IF(ISNUMBER(F17),IF(F17&gt;$C$6,"Repeats disagree: ",""),"")&amp;IF(ABS(E17)&lt;$C$6,"Within noise",IF(E17&lt;0,"Cheaper","Dearer")))</f>
        <v/>
      </c>
      <c r="H17" s="16" t="inlineStr"/>
    </row>
    <row r="18">
      <c r="A18" s="11" t="inlineStr">
        <is>
          <t>Voluntary excess +£500</t>
        </is>
      </c>
      <c r="B18" s="11">
        <f>COUNTIFS(Runs!$C$2:$C$47,A18,Runs!$G$2:$G$47,"&gt;0")</f>
        <v/>
      </c>
      <c r="C18" s="12">
        <f>IFERROR(AVERAGEIFS(Runs!$G$2:$G$47,Runs!$C$2:$C$47,A18),"")</f>
        <v/>
      </c>
      <c r="D18" s="13">
        <f>IF(AND(ISNUMBER(C18),ISNUMBER($C$3)),C18-$C$3,"")</f>
        <v/>
      </c>
      <c r="E18" s="14">
        <f>IF(ISNUMBER(D18),D18/$C$3,"")</f>
        <v/>
      </c>
      <c r="F18" s="15">
        <f>IF(B18&lt;2,"",(SUMPRODUCT(MAX((Runs!$C$2:$C$47=A18)*(Runs!$G$2:$G$47&gt;0)*Runs!$G$2:$G$47))-(1000000000-SUMPRODUCT(MAX((Runs!$C$2:$C$47=A18)*(Runs!$G$2:$G$47&gt;0)*(1000000000-Runs!$G$2:$G$47)))))/C18)</f>
        <v/>
      </c>
      <c r="G18" s="11">
        <f>IF(NOT(ISNUMBER(E18)),"No data",IF(ISNUMBER(F18),IF(F18&gt;$C$6,"Repeats disagree: ",""),"")&amp;IF(ABS(E18)&lt;$C$6,"Within noise",IF(E18&lt;0,"Cheaper","Dearer")))</f>
        <v/>
      </c>
      <c r="H18" s="16" t="inlineStr"/>
    </row>
    <row r="19">
      <c r="A19" s="11" t="inlineStr">
        <is>
          <t>Voluntary excess +£1,000</t>
        </is>
      </c>
      <c r="B19" s="11">
        <f>COUNTIFS(Runs!$C$2:$C$47,A19,Runs!$G$2:$G$47,"&gt;0")</f>
        <v/>
      </c>
      <c r="C19" s="12">
        <f>IFERROR(AVERAGEIFS(Runs!$G$2:$G$47,Runs!$C$2:$C$47,A19),"")</f>
        <v/>
      </c>
      <c r="D19" s="13">
        <f>IF(AND(ISNUMBER(C19),ISNUMBER($C$3)),C19-$C$3,"")</f>
        <v/>
      </c>
      <c r="E19" s="14">
        <f>IF(ISNUMBER(D19),D19/$C$3,"")</f>
        <v/>
      </c>
      <c r="F19" s="15">
        <f>IF(B19&lt;2,"",(SUMPRODUCT(MAX((Runs!$C$2:$C$47=A19)*(Runs!$G$2:$G$47&gt;0)*Runs!$G$2:$G$47))-(1000000000-SUMPRODUCT(MAX((Runs!$C$2:$C$47=A19)*(Runs!$G$2:$G$47&gt;0)*(1000000000-Runs!$G$2:$G$47)))))/C19)</f>
        <v/>
      </c>
      <c r="G19" s="11">
        <f>IF(NOT(ISNUMBER(E19)),"No data",IF(ISNUMBER(F19),IF(F19&gt;$C$6,"Repeats disagree: ",""),"")&amp;IF(ABS(E19)&lt;$C$6,"Within noise",IF(E19&lt;0,"Cheaper","Dearer")))</f>
        <v/>
      </c>
      <c r="H19" s="16" t="inlineStr"/>
    </row>
    <row r="20">
      <c r="A20" s="11" t="inlineStr">
        <is>
          <t>Cover: third party, fire and theft</t>
        </is>
      </c>
      <c r="B20" s="11">
        <f>COUNTIFS(Runs!$C$2:$C$47,A20,Runs!$G$2:$G$47,"&gt;0")</f>
        <v/>
      </c>
      <c r="C20" s="12">
        <f>IFERROR(AVERAGEIFS(Runs!$G$2:$G$47,Runs!$C$2:$C$47,A20),"")</f>
        <v/>
      </c>
      <c r="D20" s="13">
        <f>IF(AND(ISNUMBER(C20),ISNUMBER($C$3)),C20-$C$3,"")</f>
        <v/>
      </c>
      <c r="E20" s="14">
        <f>IF(ISNUMBER(D20),D20/$C$3,"")</f>
        <v/>
      </c>
      <c r="F20" s="15">
        <f>IF(B20&lt;2,"",(SUMPRODUCT(MAX((Runs!$C$2:$C$47=A20)*(Runs!$G$2:$G$47&gt;0)*Runs!$G$2:$G$47))-(1000000000-SUMPRODUCT(MAX((Runs!$C$2:$C$47=A20)*(Runs!$G$2:$G$47&gt;0)*(1000000000-Runs!$G$2:$G$47)))))/C20)</f>
        <v/>
      </c>
      <c r="G20" s="11">
        <f>IF(NOT(ISNUMBER(E20)),"No data",IF(ISNUMBER(F20),IF(F20&gt;$C$6,"Repeats disagree: ",""),"")&amp;IF(ABS(E20)&lt;$C$6,"Within noise",IF(E20&lt;0,"Cheaper","Dearer")))</f>
        <v/>
      </c>
      <c r="H20" s="16" t="inlineStr"/>
    </row>
    <row r="21">
      <c r="A21" s="11" t="inlineStr">
        <is>
          <t>Cover: third party only</t>
        </is>
      </c>
      <c r="B21" s="11">
        <f>COUNTIFS(Runs!$C$2:$C$47,A21,Runs!$G$2:$G$47,"&gt;0")</f>
        <v/>
      </c>
      <c r="C21" s="12">
        <f>IFERROR(AVERAGEIFS(Runs!$G$2:$G$47,Runs!$C$2:$C$47,A21),"")</f>
        <v/>
      </c>
      <c r="D21" s="13">
        <f>IF(AND(ISNUMBER(C21),ISNUMBER($C$3)),C21-$C$3,"")</f>
        <v/>
      </c>
      <c r="E21" s="14">
        <f>IF(ISNUMBER(D21),D21/$C$3,"")</f>
        <v/>
      </c>
      <c r="F21" s="15">
        <f>IF(B21&lt;2,"",(SUMPRODUCT(MAX((Runs!$C$2:$C$47=A21)*(Runs!$G$2:$G$47&gt;0)*Runs!$G$2:$G$47))-(1000000000-SUMPRODUCT(MAX((Runs!$C$2:$C$47=A21)*(Runs!$G$2:$G$47&gt;0)*(1000000000-Runs!$G$2:$G$47)))))/C21)</f>
        <v/>
      </c>
      <c r="G21" s="11">
        <f>IF(NOT(ISNUMBER(E21)),"No data",IF(ISNUMBER(F21),IF(F21&gt;$C$6,"Repeats disagree: ",""),"")&amp;IF(ABS(E21)&lt;$C$6,"Within noise",IF(E21&lt;0,"Cheaper","Dearer")))</f>
        <v/>
      </c>
      <c r="H21" s="16" t="inlineStr"/>
    </row>
    <row r="22">
      <c r="A22" s="11" t="inlineStr">
        <is>
          <t>Black box (telematics) quote</t>
        </is>
      </c>
      <c r="B22" s="11">
        <f>COUNTIFS(Runs!$C$2:$C$47,A22,Runs!$G$2:$G$47,"&gt;0")</f>
        <v/>
      </c>
      <c r="C22" s="12">
        <f>IFERROR(AVERAGEIFS(Runs!$G$2:$G$47,Runs!$C$2:$C$47,A22),"")</f>
        <v/>
      </c>
      <c r="D22" s="13">
        <f>IF(AND(ISNUMBER(C22),ISNUMBER($C$3)),C22-$C$3,"")</f>
        <v/>
      </c>
      <c r="E22" s="14">
        <f>IF(ISNUMBER(D22),D22/$C$3,"")</f>
        <v/>
      </c>
      <c r="F22" s="15">
        <f>IF(B22&lt;2,"",(SUMPRODUCT(MAX((Runs!$C$2:$C$47=A22)*(Runs!$G$2:$G$47&gt;0)*Runs!$G$2:$G$47))-(1000000000-SUMPRODUCT(MAX((Runs!$C$2:$C$47=A22)*(Runs!$G$2:$G$47&gt;0)*(1000000000-Runs!$G$2:$G$47)))))/C22)</f>
        <v/>
      </c>
      <c r="G22" s="11">
        <f>IF(NOT(ISNUMBER(E22)),"No data",IF(ISNUMBER(F22),IF(F22&gt;$C$6,"Repeats disagree: ",""),"")&amp;IF(ABS(E22)&lt;$C$6,"Within noise",IF(E22&lt;0,"Cheaper","Dearer")))</f>
        <v/>
      </c>
      <c r="H22" s="16" t="inlineStr">
        <is>
          <t>Record the cheapest black-box price</t>
        </is>
      </c>
    </row>
    <row r="23">
      <c r="A23" s="11" t="inlineStr">
        <is>
          <t>Start date +1 day</t>
        </is>
      </c>
      <c r="B23" s="11">
        <f>COUNTIFS(Runs!$C$2:$C$47,A23,Runs!$G$2:$G$47,"&gt;0")</f>
        <v/>
      </c>
      <c r="C23" s="12">
        <f>IFERROR(AVERAGEIFS(Runs!$G$2:$G$47,Runs!$C$2:$C$47,A23),"")</f>
        <v/>
      </c>
      <c r="D23" s="13">
        <f>IF(AND(ISNUMBER(C23),ISNUMBER($C$3)),C23-$C$3,"")</f>
        <v/>
      </c>
      <c r="E23" s="14">
        <f>IF(ISNUMBER(D23),D23/$C$3,"")</f>
        <v/>
      </c>
      <c r="F23" s="15">
        <f>IF(B23&lt;2,"",(SUMPRODUCT(MAX((Runs!$C$2:$C$47=A23)*(Runs!$G$2:$G$47&gt;0)*Runs!$G$2:$G$47))-(1000000000-SUMPRODUCT(MAX((Runs!$C$2:$C$47=A23)*(Runs!$G$2:$G$47&gt;0)*(1000000000-Runs!$G$2:$G$47)))))/C23)</f>
        <v/>
      </c>
      <c r="G23" s="11">
        <f>IF(NOT(ISNUMBER(E23)),"No data",IF(ISNUMBER(F23),IF(F23&gt;$C$6,"Repeats disagree: ",""),"")&amp;IF(ABS(E23)&lt;$C$6,"Within noise",IF(E23&lt;0,"Cheaper","Dearer")))</f>
        <v/>
      </c>
      <c r="H23" s="16" t="inlineStr"/>
    </row>
    <row r="24">
      <c r="A24" s="11" t="inlineStr">
        <is>
          <t>Start date +4 weeks</t>
        </is>
      </c>
      <c r="B24" s="11">
        <f>COUNTIFS(Runs!$C$2:$C$47,A24,Runs!$G$2:$G$47,"&gt;0")</f>
        <v/>
      </c>
      <c r="C24" s="12">
        <f>IFERROR(AVERAGEIFS(Runs!$G$2:$G$47,Runs!$C$2:$C$47,A24),"")</f>
        <v/>
      </c>
      <c r="D24" s="13">
        <f>IF(AND(ISNUMBER(C24),ISNUMBER($C$3)),C24-$C$3,"")</f>
        <v/>
      </c>
      <c r="E24" s="14">
        <f>IF(ISNUMBER(D24),D24/$C$3,"")</f>
        <v/>
      </c>
      <c r="F24" s="15">
        <f>IF(B24&lt;2,"",(SUMPRODUCT(MAX((Runs!$C$2:$C$47=A24)*(Runs!$G$2:$G$47&gt;0)*Runs!$G$2:$G$47))-(1000000000-SUMPRODUCT(MAX((Runs!$C$2:$C$47=A24)*(Runs!$G$2:$G$47&gt;0)*(1000000000-Runs!$G$2:$G$47)))))/C24)</f>
        <v/>
      </c>
      <c r="G24" s="11">
        <f>IF(NOT(ISNUMBER(E24)),"No data",IF(ISNUMBER(F24),IF(F24&gt;$C$6,"Repeats disagree: ",""),"")&amp;IF(ABS(E24)&lt;$C$6,"Within noise",IF(E24&lt;0,"Cheaper","Dearer")))</f>
        <v/>
      </c>
      <c r="H24" s="16" t="inlineStr"/>
    </row>
    <row r="25">
      <c r="A25" s="11" t="inlineStr">
        <is>
          <t>Pay monthly (record total payable)</t>
        </is>
      </c>
      <c r="B25" s="11">
        <f>COUNTIFS(Runs!$C$2:$C$47,A25,Runs!$G$2:$G$47,"&gt;0")</f>
        <v/>
      </c>
      <c r="C25" s="12">
        <f>IFERROR(AVERAGEIFS(Runs!$G$2:$G$47,Runs!$C$2:$C$47,A25),"")</f>
        <v/>
      </c>
      <c r="D25" s="13">
        <f>IF(AND(ISNUMBER(C25),ISNUMBER($C$3)),C25-$C$3,"")</f>
        <v/>
      </c>
      <c r="E25" s="14">
        <f>IF(ISNUMBER(D25),D25/$C$3,"")</f>
        <v/>
      </c>
      <c r="F25" s="15">
        <f>IF(B25&lt;2,"",(SUMPRODUCT(MAX((Runs!$C$2:$C$47=A25)*(Runs!$G$2:$G$47&gt;0)*Runs!$G$2:$G$47))-(1000000000-SUMPRODUCT(MAX((Runs!$C$2:$C$47=A25)*(Runs!$G$2:$G$47&gt;0)*(1000000000-Runs!$G$2:$G$47)))))/C25)</f>
        <v/>
      </c>
      <c r="G25" s="11">
        <f>IF(NOT(ISNUMBER(E25)),"No data",IF(ISNUMBER(F25),IF(F25&gt;$C$6,"Repeats disagree: ",""),"")&amp;IF(ABS(E25)&lt;$C$6,"Within noise",IF(E25&lt;0,"Cheaper","Dearer")))</f>
        <v/>
      </c>
      <c r="H25" s="16" t="inlineStr">
        <is>
          <t>Use total payable over the year</t>
        </is>
      </c>
    </row>
    <row r="26">
      <c r="A26" s="11" t="inlineStr">
        <is>
          <t>Alternative job title (also true)</t>
        </is>
      </c>
      <c r="B26" s="11">
        <f>COUNTIFS(Runs!$C$2:$C$47,A26,Runs!$G$2:$G$47,"&gt;0")</f>
        <v/>
      </c>
      <c r="C26" s="12">
        <f>IFERROR(AVERAGEIFS(Runs!$G$2:$G$47,Runs!$C$2:$C$47,A26),"")</f>
        <v/>
      </c>
      <c r="D26" s="13">
        <f>IF(AND(ISNUMBER(C26),ISNUMBER($C$3)),C26-$C$3,"")</f>
        <v/>
      </c>
      <c r="E26" s="14">
        <f>IF(ISNUMBER(D26),D26/$C$3,"")</f>
        <v/>
      </c>
      <c r="F26" s="15">
        <f>IF(B26&lt;2,"",(SUMPRODUCT(MAX((Runs!$C$2:$C$47=A26)*(Runs!$G$2:$G$47&gt;0)*Runs!$G$2:$G$47))-(1000000000-SUMPRODUCT(MAX((Runs!$C$2:$C$47=A26)*(Runs!$G$2:$G$47&gt;0)*(1000000000-Runs!$G$2:$G$47)))))/C26)</f>
        <v/>
      </c>
      <c r="G26" s="11">
        <f>IF(NOT(ISNUMBER(E26)),"No data",IF(ISNUMBER(F26),IF(F26&gt;$C$6,"Repeats disagree: ",""),"")&amp;IF(ABS(E26)&lt;$C$6,"Within noise",IF(E26&lt;0,"Cheaper","Dearer")))</f>
        <v/>
      </c>
      <c r="H26" s="16" t="inlineStr">
        <is>
          <t>Only a title that is genuinely accurate</t>
        </is>
      </c>
    </row>
    <row r="27">
      <c r="A27" s="11" t="inlineStr">
        <is>
          <t>Overnight parking: other option</t>
        </is>
      </c>
      <c r="B27" s="11">
        <f>COUNTIFS(Runs!$C$2:$C$47,A27,Runs!$G$2:$G$47,"&gt;0")</f>
        <v/>
      </c>
      <c r="C27" s="12">
        <f>IFERROR(AVERAGEIFS(Runs!$G$2:$G$47,Runs!$C$2:$C$47,A27),"")</f>
        <v/>
      </c>
      <c r="D27" s="13">
        <f>IF(AND(ISNUMBER(C27),ISNUMBER($C$3)),C27-$C$3,"")</f>
        <v/>
      </c>
      <c r="E27" s="14">
        <f>IF(ISNUMBER(D27),D27/$C$3,"")</f>
        <v/>
      </c>
      <c r="F27" s="15">
        <f>IF(B27&lt;2,"",(SUMPRODUCT(MAX((Runs!$C$2:$C$47=A27)*(Runs!$G$2:$G$47&gt;0)*Runs!$G$2:$G$47))-(1000000000-SUMPRODUCT(MAX((Runs!$C$2:$C$47=A27)*(Runs!$G$2:$G$47&gt;0)*(1000000000-Runs!$G$2:$G$47)))))/C27)</f>
        <v/>
      </c>
      <c r="G27" s="11">
        <f>IF(NOT(ISNUMBER(E27)),"No data",IF(ISNUMBER(F27),IF(F27&gt;$C$6,"Repeats disagree: ",""),"")&amp;IF(ABS(E27)&lt;$C$6,"Within noise",IF(E27&lt;0,"Cheaper","Dearer")))</f>
        <v/>
      </c>
      <c r="H27" s="16" t="inlineStr">
        <is>
          <t>Only to learn the effect</t>
        </is>
      </c>
    </row>
    <row r="28">
      <c r="A28" s="11" t="inlineStr">
        <is>
          <t>Name spelling change</t>
        </is>
      </c>
      <c r="B28" s="11">
        <f>COUNTIFS(Runs!$C$2:$C$47,A28,Runs!$G$2:$G$47,"&gt;0")</f>
        <v/>
      </c>
      <c r="C28" s="12">
        <f>IFERROR(AVERAGEIFS(Runs!$G$2:$G$47,Runs!$C$2:$C$47,A28),"")</f>
        <v/>
      </c>
      <c r="D28" s="13">
        <f>IF(AND(ISNUMBER(C28),ISNUMBER($C$3)),C28-$C$3,"")</f>
        <v/>
      </c>
      <c r="E28" s="14">
        <f>IF(ISNUMBER(D28),D28/$C$3,"")</f>
        <v/>
      </c>
      <c r="F28" s="15">
        <f>IF(B28&lt;2,"",(SUMPRODUCT(MAX((Runs!$C$2:$C$47=A28)*(Runs!$G$2:$G$47&gt;0)*Runs!$G$2:$G$47))-(1000000000-SUMPRODUCT(MAX((Runs!$C$2:$C$47=A28)*(Runs!$G$2:$G$47&gt;0)*(1000000000-Runs!$G$2:$G$47)))))/C28)</f>
        <v/>
      </c>
      <c r="G28" s="11">
        <f>IF(NOT(ISNUMBER(E28)),"No data",IF(ISNUMBER(F28),IF(F28&gt;$C$6,"Repeats disagree: ",""),"")&amp;IF(ABS(E28)&lt;$C$6,"Within noise",IF(E28&lt;0,"Cheaper","Dearer")))</f>
        <v/>
      </c>
      <c r="H28" s="16" t="inlineStr">
        <is>
          <t>TEST ONLY. Never publish. Never buy.</t>
        </is>
      </c>
    </row>
    <row r="29">
      <c r="A29" s="11" t="inlineStr">
        <is>
          <t>Middle name added</t>
        </is>
      </c>
      <c r="B29" s="11">
        <f>COUNTIFS(Runs!$C$2:$C$47,A29,Runs!$G$2:$G$47,"&gt;0")</f>
        <v/>
      </c>
      <c r="C29" s="12">
        <f>IFERROR(AVERAGEIFS(Runs!$G$2:$G$47,Runs!$C$2:$C$47,A29),"")</f>
        <v/>
      </c>
      <c r="D29" s="13">
        <f>IF(AND(ISNUMBER(C29),ISNUMBER($C$3)),C29-$C$3,"")</f>
        <v/>
      </c>
      <c r="E29" s="14">
        <f>IF(ISNUMBER(D29),D29/$C$3,"")</f>
        <v/>
      </c>
      <c r="F29" s="15">
        <f>IF(B29&lt;2,"",(SUMPRODUCT(MAX((Runs!$C$2:$C$47=A29)*(Runs!$G$2:$G$47&gt;0)*Runs!$G$2:$G$47))-(1000000000-SUMPRODUCT(MAX((Runs!$C$2:$C$47=A29)*(Runs!$G$2:$G$47&gt;0)*(1000000000-Runs!$G$2:$G$47)))))/C29)</f>
        <v/>
      </c>
      <c r="G29" s="11">
        <f>IF(NOT(ISNUMBER(E29)),"No data",IF(ISNUMBER(F29),IF(F29&gt;$C$6,"Repeats disagree: ",""),"")&amp;IF(ABS(E29)&lt;$C$6,"Within noise",IF(E29&lt;0,"Cheaper","Dearer")))</f>
        <v/>
      </c>
      <c r="H29" s="16" t="inlineStr">
        <is>
          <t>TEST ONLY. Never publish. Never buy.</t>
        </is>
      </c>
    </row>
    <row r="31" ht="48" customHeight="1">
      <c r="A31" s="2" t="inlineStr">
        <is>
          <t>Reading the verdict: 'Within noise' = the gap is smaller than normal run-to-run variation. 'Repeats disagree' = the two runs of the same change differ by more than the noise level, so do not trust that row.</t>
        </is>
      </c>
    </row>
  </sheetData>
  <mergeCells count="1">
    <mergeCell ref="A31:H31"/>
  </mergeCells>
  <conditionalFormatting sqref="G9:G29">
    <cfRule type="expression" priority="1" dxfId="0">
      <formula>RIGHT(G9,7)="Cheaper"</formula>
    </cfRule>
    <cfRule type="expression" priority="2" dxfId="1">
      <formula>RIGHT(G9,5)="Dearer"</formula>
    </cfRule>
    <cfRule type="expression" priority="3" dxfId="2">
      <formula>LEFT(G9,7)="Repeats"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2" customWidth="1" min="3" max="3"/>
  </cols>
  <sheetData>
    <row r="1" ht="34" customHeight="1">
      <c r="A1" s="10" t="inlineStr">
        <is>
          <t>Field</t>
        </is>
      </c>
      <c r="B1" s="10" t="inlineStr">
        <is>
          <t>Baseline answer (fill in)</t>
        </is>
      </c>
      <c r="C1" s="10" t="inlineStr">
        <is>
          <t>Note</t>
        </is>
      </c>
    </row>
    <row r="2">
      <c r="A2" s="17" t="inlineStr">
        <is>
          <t>Car make, model, engine, gearbox</t>
        </is>
      </c>
      <c r="B2" s="18" t="inlineStr">
        <is>
          <t>e.g. VW Polo 1.2 manual</t>
        </is>
      </c>
      <c r="C2" s="16" t="inlineStr">
        <is>
          <t>Pick a common car.</t>
        </is>
      </c>
    </row>
    <row r="3">
      <c r="A3" s="17" t="inlineStr">
        <is>
          <t>Year</t>
        </is>
      </c>
      <c r="B3" s="18" t="inlineStr"/>
      <c r="C3" s="16" t="inlineStr"/>
    </row>
    <row r="4">
      <c r="A4" s="17" t="inlineStr">
        <is>
          <t>Fuel</t>
        </is>
      </c>
      <c r="B4" s="18" t="inlineStr"/>
      <c r="C4" s="16" t="inlineStr"/>
    </row>
    <row r="5">
      <c r="A5" s="17" t="inlineStr">
        <is>
          <t>Value (£)</t>
        </is>
      </c>
      <c r="B5" s="18" t="inlineStr"/>
      <c r="C5" s="16" t="inlineStr">
        <is>
          <t>Use the site's suggested value.</t>
        </is>
      </c>
    </row>
    <row r="6">
      <c r="A6" s="17" t="inlineStr">
        <is>
          <t>Alarm / immobiliser</t>
        </is>
      </c>
      <c r="B6" s="18" t="inlineStr"/>
      <c r="C6" s="16" t="inlineStr"/>
    </row>
    <row r="7">
      <c r="A7" s="17" t="inlineStr">
        <is>
          <t>Tracker</t>
        </is>
      </c>
      <c r="B7" s="18" t="inlineStr">
        <is>
          <t>No</t>
        </is>
      </c>
      <c r="C7" s="16" t="inlineStr">
        <is>
          <t>Tested as a change.</t>
        </is>
      </c>
    </row>
    <row r="8">
      <c r="A8" s="17" t="inlineStr">
        <is>
          <t>Modifications</t>
        </is>
      </c>
      <c r="B8" s="18" t="inlineStr">
        <is>
          <t>No</t>
        </is>
      </c>
      <c r="C8" s="16" t="inlineStr"/>
    </row>
    <row r="9">
      <c r="A9" s="17" t="inlineStr">
        <is>
          <t>Dashcam</t>
        </is>
      </c>
      <c r="B9" s="18" t="inlineStr"/>
      <c r="C9" s="16" t="inlineStr"/>
    </row>
    <row r="10">
      <c r="A10" s="17" t="inlineStr">
        <is>
          <t>Who owns / registered keeper</t>
        </is>
      </c>
      <c r="B10" s="18" t="inlineStr"/>
      <c r="C10" s="16" t="inlineStr"/>
    </row>
    <row r="11">
      <c r="A11" s="17" t="inlineStr">
        <is>
          <t>Title / first name / surname</t>
        </is>
      </c>
      <c r="B11" s="18" t="inlineStr">
        <is>
          <t>DUMMY NAME</t>
        </is>
      </c>
      <c r="C11" s="16" t="inlineStr">
        <is>
          <t>Dummy only.</t>
        </is>
      </c>
    </row>
    <row r="12">
      <c r="A12" s="17" t="inlineStr">
        <is>
          <t>Date of birth</t>
        </is>
      </c>
      <c r="B12" s="18" t="inlineStr">
        <is>
          <t>DUMMY</t>
        </is>
      </c>
      <c r="C12" s="16" t="inlineStr">
        <is>
          <t>Dummy only. Fix it for every run.</t>
        </is>
      </c>
    </row>
    <row r="13">
      <c r="A13" s="17" t="inlineStr">
        <is>
          <t>Marital status</t>
        </is>
      </c>
      <c r="B13" s="18" t="inlineStr"/>
      <c r="C13" s="16" t="inlineStr"/>
    </row>
    <row r="14">
      <c r="A14" s="17" t="inlineStr">
        <is>
          <t>Address and postcode area</t>
        </is>
      </c>
      <c r="B14" s="18" t="inlineStr">
        <is>
          <t>DUMMY</t>
        </is>
      </c>
      <c r="C14" s="16" t="inlineStr">
        <is>
          <t>Dummy. Fix it for every run.</t>
        </is>
      </c>
    </row>
    <row r="15">
      <c r="A15" s="17" t="inlineStr">
        <is>
          <t>Email / phone</t>
        </is>
      </c>
      <c r="B15" s="18" t="inlineStr">
        <is>
          <t>DUMMY</t>
        </is>
      </c>
      <c r="C15" s="16" t="inlineStr">
        <is>
          <t>Use a throwaway email.</t>
        </is>
      </c>
    </row>
    <row r="16">
      <c r="A16" s="17" t="inlineStr">
        <is>
          <t>Occupation / employment</t>
        </is>
      </c>
      <c r="B16" s="18" t="inlineStr"/>
      <c r="C16" s="16" t="inlineStr">
        <is>
          <t>Keep the same wording in every run unless testing job titles.</t>
        </is>
      </c>
    </row>
    <row r="17">
      <c r="A17" s="17" t="inlineStr">
        <is>
          <t>Years licence held</t>
        </is>
      </c>
      <c r="B17" s="18" t="inlineStr"/>
      <c r="C17" s="16" t="inlineStr"/>
    </row>
    <row r="18">
      <c r="A18" s="17" t="inlineStr">
        <is>
          <t>Cars in household</t>
        </is>
      </c>
      <c r="B18" s="18" t="inlineStr"/>
      <c r="C18" s="16" t="inlineStr"/>
    </row>
    <row r="19">
      <c r="A19" s="17" t="inlineStr">
        <is>
          <t>Children / homeowner</t>
        </is>
      </c>
      <c r="B19" s="18" t="inlineStr"/>
      <c r="C19" s="16" t="inlineStr"/>
    </row>
    <row r="20">
      <c r="A20" s="17" t="inlineStr">
        <is>
          <t>Claims (last 5 years)</t>
        </is>
      </c>
      <c r="B20" s="18" t="inlineStr">
        <is>
          <t>None</t>
        </is>
      </c>
      <c r="C20" s="16" t="inlineStr"/>
    </row>
    <row r="21">
      <c r="A21" s="17" t="inlineStr">
        <is>
          <t>Convictions</t>
        </is>
      </c>
      <c r="B21" s="18" t="inlineStr">
        <is>
          <t>None</t>
        </is>
      </c>
      <c r="C21" s="16" t="inlineStr"/>
    </row>
    <row r="22">
      <c r="A22" s="17" t="inlineStr">
        <is>
          <t>Named / additional drivers</t>
        </is>
      </c>
      <c r="B22" s="18" t="inlineStr">
        <is>
          <t>None</t>
        </is>
      </c>
      <c r="C22" s="16" t="inlineStr">
        <is>
          <t>Tested as a change.</t>
        </is>
      </c>
    </row>
    <row r="23">
      <c r="A23" s="17" t="inlineStr">
        <is>
          <t>Policy start date</t>
        </is>
      </c>
      <c r="B23" s="18" t="inlineStr">
        <is>
          <t>Today + 3 weeks</t>
        </is>
      </c>
      <c r="C23" s="16" t="inlineStr">
        <is>
          <t>Same offset every run unless testing the date.</t>
        </is>
      </c>
    </row>
    <row r="24">
      <c r="A24" s="17" t="inlineStr">
        <is>
          <t>Cover type</t>
        </is>
      </c>
      <c r="B24" s="18" t="inlineStr">
        <is>
          <t>Comprehensive</t>
        </is>
      </c>
      <c r="C24" s="16" t="inlineStr"/>
    </row>
    <row r="25">
      <c r="A25" s="17" t="inlineStr">
        <is>
          <t>Voluntary excess (£)</t>
        </is>
      </c>
      <c r="B25" s="18" t="inlineStr">
        <is>
          <t>250</t>
        </is>
      </c>
      <c r="C25" s="16" t="inlineStr">
        <is>
          <t>Tested as a change.</t>
        </is>
      </c>
    </row>
    <row r="26">
      <c r="A26" s="17" t="inlineStr">
        <is>
          <t>Payment</t>
        </is>
      </c>
      <c r="B26" s="18" t="inlineStr">
        <is>
          <t>Annual</t>
        </is>
      </c>
      <c r="C26" s="16" t="inlineStr">
        <is>
          <t>Tested as a change.</t>
        </is>
      </c>
    </row>
    <row r="27">
      <c r="A27" s="17" t="inlineStr">
        <is>
          <t>Use / annual mileage</t>
        </is>
      </c>
      <c r="B27" s="18" t="inlineStr"/>
      <c r="C27" s="16" t="inlineStr"/>
    </row>
    <row r="28">
      <c r="A28" s="17" t="inlineStr">
        <is>
          <t>Where kept / overnight</t>
        </is>
      </c>
      <c r="B28" s="18" t="inlineStr"/>
      <c r="C28" s="16" t="inlineStr"/>
    </row>
    <row r="29">
      <c r="A29" s="17" t="inlineStr">
        <is>
          <t>No-claims discount (years)</t>
        </is>
      </c>
      <c r="B29" s="18" t="inlineStr"/>
      <c r="C29" s="16" t="inlineStr"/>
    </row>
    <row r="30">
      <c r="A30" s="17" t="inlineStr">
        <is>
          <t>Comparison site used</t>
        </is>
      </c>
      <c r="B30" s="18" t="inlineStr"/>
      <c r="C30" s="16" t="inlineStr">
        <is>
          <t>Use the SAME site for all runs.</t>
        </is>
      </c>
    </row>
    <row r="31">
      <c r="A31" s="17" t="inlineStr">
        <is>
          <t>Browser / private window</t>
        </is>
      </c>
      <c r="B31" s="18" t="inlineStr"/>
      <c r="C31" s="16" t="inlineStr">
        <is>
          <t>Private window each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36" customWidth="1" min="3" max="3"/>
    <col width="12" customWidth="1" min="4" max="4"/>
    <col width="8" customWidth="1" min="5" max="5"/>
    <col width="16" customWidth="1" min="6" max="6"/>
    <col width="14" customWidth="1" min="7" max="7"/>
    <col width="20" customWidth="1" min="8" max="8"/>
    <col width="12" customWidth="1" min="9" max="9"/>
    <col width="13" customWidth="1" min="10" max="10"/>
    <col width="10" customWidth="1" min="11" max="11"/>
    <col width="40" customWidth="1" min="12" max="12"/>
    <col width="34" customWidth="1" min="13" max="13"/>
    <col width="14" customWidth="1" min="14" max="14"/>
    <col width="16" customWidth="1" min="15" max="15"/>
  </cols>
  <sheetData>
    <row r="1" ht="34" customHeight="1">
      <c r="A1" s="10" t="inlineStr">
        <is>
          <t>Run #</t>
        </is>
      </c>
      <c r="B1" s="10" t="inlineStr">
        <is>
          <t>Group</t>
        </is>
      </c>
      <c r="C1" s="10" t="inlineStr">
        <is>
          <t>Change tested</t>
        </is>
      </c>
      <c r="D1" s="10" t="inlineStr">
        <is>
          <t>Date</t>
        </is>
      </c>
      <c r="E1" s="10" t="inlineStr">
        <is>
          <t>Time</t>
        </is>
      </c>
      <c r="F1" s="10" t="inlineStr">
        <is>
          <t>Site</t>
        </is>
      </c>
      <c r="G1" s="10" t="inlineStr">
        <is>
          <t>Cheapest price (£/yr)</t>
        </is>
      </c>
      <c r="H1" s="10" t="inlineStr">
        <is>
          <t>Insurer of cheapest</t>
        </is>
      </c>
      <c r="I1" s="10" t="inlineStr">
        <is>
          <t>Total excess (£)</t>
        </is>
      </c>
      <c r="J1" s="10" t="inlineStr">
        <is>
          <t>2nd cheapest (£)</t>
        </is>
      </c>
      <c r="K1" s="10" t="inlineStr">
        <is>
          <t>Black box?</t>
        </is>
      </c>
      <c r="L1" s="10" t="inlineStr">
        <is>
          <t>Notes / what you actually changed</t>
        </is>
      </c>
      <c r="M1" s="10" t="inlineStr">
        <is>
          <t>Plan note</t>
        </is>
      </c>
      <c r="N1" s="10" t="inlineStr">
        <is>
          <t>Baseline price (helper)</t>
        </is>
      </c>
      <c r="O1" s="10" t="inlineStr">
        <is>
          <t>Change vs baseline avg (%)</t>
        </is>
      </c>
    </row>
    <row r="2">
      <c r="A2" s="19" t="n">
        <v>1</v>
      </c>
      <c r="B2" s="19" t="inlineStr">
        <is>
          <t>Baseline</t>
        </is>
      </c>
      <c r="C2" s="19" t="inlineStr">
        <is>
          <t>Baseline</t>
        </is>
      </c>
      <c r="D2" s="20" t="n"/>
      <c r="E2" s="21" t="n"/>
      <c r="F2" s="18" t="n"/>
      <c r="G2" s="22" t="n"/>
      <c r="H2" s="18" t="n"/>
      <c r="I2" s="22" t="n"/>
      <c r="J2" s="22" t="n"/>
      <c r="K2" s="18" t="n"/>
      <c r="L2" s="18" t="n"/>
      <c r="M2" s="16" t="inlineStr"/>
      <c r="N2" s="12">
        <f>IF(AND(B2="Baseline",ISNUMBER(G2)),G2,"")</f>
        <v/>
      </c>
      <c r="O2" s="15">
        <f>IF(AND(B2="Change",ISNUMBER(G2),ISNUMBER(Summary!$C$3)),G2/Summary!$C$3-1,"")</f>
        <v/>
      </c>
    </row>
    <row r="3">
      <c r="A3" s="11" t="n">
        <v>2</v>
      </c>
      <c r="B3" s="11" t="inlineStr">
        <is>
          <t>Change</t>
        </is>
      </c>
      <c r="C3" s="11" t="inlineStr">
        <is>
          <t>Add parent 1 as a named driver</t>
        </is>
      </c>
      <c r="D3" s="20" t="n"/>
      <c r="E3" s="21" t="n"/>
      <c r="F3" s="18" t="n"/>
      <c r="G3" s="22" t="n"/>
      <c r="H3" s="18" t="n"/>
      <c r="I3" s="22" t="n"/>
      <c r="J3" s="22" t="n"/>
      <c r="K3" s="18" t="n"/>
      <c r="L3" s="18" t="n"/>
      <c r="M3" s="16" t="inlineStr">
        <is>
          <t>Only if they would genuinely drive</t>
        </is>
      </c>
      <c r="N3" s="12">
        <f>IF(AND(B3="Baseline",ISNUMBER(G3)),G3,"")</f>
        <v/>
      </c>
      <c r="O3" s="15">
        <f>IF(AND(B3="Change",ISNUMBER(G3),ISNUMBER(Summary!$C$3)),G3/Summary!$C$3-1,"")</f>
        <v/>
      </c>
    </row>
    <row r="4">
      <c r="A4" s="11" t="n">
        <v>3</v>
      </c>
      <c r="B4" s="11" t="inlineStr">
        <is>
          <t>Change</t>
        </is>
      </c>
      <c r="C4" s="11" t="inlineStr">
        <is>
          <t>Add parent 2 as a named driver</t>
        </is>
      </c>
      <c r="D4" s="20" t="n"/>
      <c r="E4" s="21" t="n"/>
      <c r="F4" s="18" t="n"/>
      <c r="G4" s="22" t="n"/>
      <c r="H4" s="18" t="n"/>
      <c r="I4" s="22" t="n"/>
      <c r="J4" s="22" t="n"/>
      <c r="K4" s="18" t="n"/>
      <c r="L4" s="18" t="n"/>
      <c r="M4" s="16" t="inlineStr">
        <is>
          <t>Only if they would genuinely drive</t>
        </is>
      </c>
      <c r="N4" s="12">
        <f>IF(AND(B4="Baseline",ISNUMBER(G4)),G4,"")</f>
        <v/>
      </c>
      <c r="O4" s="15">
        <f>IF(AND(B4="Change",ISNUMBER(G4),ISNUMBER(Summary!$C$3)),G4/Summary!$C$3-1,"")</f>
        <v/>
      </c>
    </row>
    <row r="5">
      <c r="A5" s="11" t="n">
        <v>4</v>
      </c>
      <c r="B5" s="11" t="inlineStr">
        <is>
          <t>Change</t>
        </is>
      </c>
      <c r="C5" s="11" t="inlineStr">
        <is>
          <t>Add both parents as named drivers</t>
        </is>
      </c>
      <c r="D5" s="20" t="n"/>
      <c r="E5" s="21" t="n"/>
      <c r="F5" s="18" t="n"/>
      <c r="G5" s="22" t="n"/>
      <c r="H5" s="18" t="n"/>
      <c r="I5" s="22" t="n"/>
      <c r="J5" s="22" t="n"/>
      <c r="K5" s="18" t="n"/>
      <c r="L5" s="18" t="n"/>
      <c r="M5" s="16" t="inlineStr">
        <is>
          <t>Only if they would genuinely drive</t>
        </is>
      </c>
      <c r="N5" s="12">
        <f>IF(AND(B5="Baseline",ISNUMBER(G5)),G5,"")</f>
        <v/>
      </c>
      <c r="O5" s="15">
        <f>IF(AND(B5="Change",ISNUMBER(G5),ISNUMBER(Summary!$C$3)),G5/Summary!$C$3-1,"")</f>
        <v/>
      </c>
    </row>
    <row r="6">
      <c r="A6" s="11" t="n">
        <v>5</v>
      </c>
      <c r="B6" s="11" t="inlineStr">
        <is>
          <t>Change</t>
        </is>
      </c>
      <c r="C6" s="11" t="inlineStr">
        <is>
          <t>Vehicle value +10%</t>
        </is>
      </c>
      <c r="D6" s="20" t="n"/>
      <c r="E6" s="21" t="n"/>
      <c r="F6" s="18" t="n"/>
      <c r="G6" s="22" t="n"/>
      <c r="H6" s="18" t="n"/>
      <c r="I6" s="22" t="n"/>
      <c r="J6" s="22" t="n"/>
      <c r="K6" s="18" t="n"/>
      <c r="L6" s="18" t="n"/>
      <c r="M6" s="16" t="inlineStr"/>
      <c r="N6" s="12">
        <f>IF(AND(B6="Baseline",ISNUMBER(G6)),G6,"")</f>
        <v/>
      </c>
      <c r="O6" s="15">
        <f>IF(AND(B6="Change",ISNUMBER(G6),ISNUMBER(Summary!$C$3)),G6/Summary!$C$3-1,"")</f>
        <v/>
      </c>
    </row>
    <row r="7">
      <c r="A7" s="11" t="n">
        <v>6</v>
      </c>
      <c r="B7" s="11" t="inlineStr">
        <is>
          <t>Change</t>
        </is>
      </c>
      <c r="C7" s="11" t="inlineStr">
        <is>
          <t>Vehicle value -10%</t>
        </is>
      </c>
      <c r="D7" s="20" t="n"/>
      <c r="E7" s="21" t="n"/>
      <c r="F7" s="18" t="n"/>
      <c r="G7" s="22" t="n"/>
      <c r="H7" s="18" t="n"/>
      <c r="I7" s="22" t="n"/>
      <c r="J7" s="22" t="n"/>
      <c r="K7" s="18" t="n"/>
      <c r="L7" s="18" t="n"/>
      <c r="M7" s="16" t="inlineStr"/>
      <c r="N7" s="12">
        <f>IF(AND(B7="Baseline",ISNUMBER(G7)),G7,"")</f>
        <v/>
      </c>
      <c r="O7" s="15">
        <f>IF(AND(B7="Change",ISNUMBER(G7),ISNUMBER(Summary!$C$3)),G7/Summary!$C$3-1,"")</f>
        <v/>
      </c>
    </row>
    <row r="8">
      <c r="A8" s="11" t="n">
        <v>7</v>
      </c>
      <c r="B8" s="11" t="inlineStr">
        <is>
          <t>Change</t>
        </is>
      </c>
      <c r="C8" s="11" t="inlineStr">
        <is>
          <t>Add a tracker</t>
        </is>
      </c>
      <c r="D8" s="20" t="n"/>
      <c r="E8" s="21" t="n"/>
      <c r="F8" s="18" t="n"/>
      <c r="G8" s="22" t="n"/>
      <c r="H8" s="18" t="n"/>
      <c r="I8" s="22" t="n"/>
      <c r="J8" s="22" t="n"/>
      <c r="K8" s="18" t="n"/>
      <c r="L8" s="18" t="n"/>
      <c r="M8" s="16" t="inlineStr"/>
      <c r="N8" s="12">
        <f>IF(AND(B8="Baseline",ISNUMBER(G8)),G8,"")</f>
        <v/>
      </c>
      <c r="O8" s="15">
        <f>IF(AND(B8="Change",ISNUMBER(G8),ISNUMBER(Summary!$C$3)),G8/Summary!$C$3-1,"")</f>
        <v/>
      </c>
    </row>
    <row r="9">
      <c r="A9" s="11" t="n">
        <v>8</v>
      </c>
      <c r="B9" s="11" t="inlineStr">
        <is>
          <t>Change</t>
        </is>
      </c>
      <c r="C9" s="11" t="inlineStr">
        <is>
          <t>Annual mileage -40%</t>
        </is>
      </c>
      <c r="D9" s="20" t="n"/>
      <c r="E9" s="21" t="n"/>
      <c r="F9" s="18" t="n"/>
      <c r="G9" s="22" t="n"/>
      <c r="H9" s="18" t="n"/>
      <c r="I9" s="22" t="n"/>
      <c r="J9" s="22" t="n"/>
      <c r="K9" s="18" t="n"/>
      <c r="L9" s="18" t="n"/>
      <c r="M9" s="16" t="inlineStr"/>
      <c r="N9" s="12">
        <f>IF(AND(B9="Baseline",ISNUMBER(G9)),G9,"")</f>
        <v/>
      </c>
      <c r="O9" s="15">
        <f>IF(AND(B9="Change",ISNUMBER(G9),ISNUMBER(Summary!$C$3)),G9/Summary!$C$3-1,"")</f>
        <v/>
      </c>
    </row>
    <row r="10">
      <c r="A10" s="11" t="n">
        <v>9</v>
      </c>
      <c r="B10" s="11" t="inlineStr">
        <is>
          <t>Change</t>
        </is>
      </c>
      <c r="C10" s="11" t="inlineStr">
        <is>
          <t>Annual mileage +40%</t>
        </is>
      </c>
      <c r="D10" s="20" t="n"/>
      <c r="E10" s="21" t="n"/>
      <c r="F10" s="18" t="n"/>
      <c r="G10" s="22" t="n"/>
      <c r="H10" s="18" t="n"/>
      <c r="I10" s="22" t="n"/>
      <c r="J10" s="22" t="n"/>
      <c r="K10" s="18" t="n"/>
      <c r="L10" s="18" t="n"/>
      <c r="M10" s="16" t="inlineStr"/>
      <c r="N10" s="12">
        <f>IF(AND(B10="Baseline",ISNUMBER(G10)),G10,"")</f>
        <v/>
      </c>
      <c r="O10" s="15">
        <f>IF(AND(B10="Change",ISNUMBER(G10),ISNUMBER(Summary!$C$3)),G10/Summary!$C$3-1,"")</f>
        <v/>
      </c>
    </row>
    <row r="11">
      <c r="A11" s="11" t="n">
        <v>10</v>
      </c>
      <c r="B11" s="11" t="inlineStr">
        <is>
          <t>Change</t>
        </is>
      </c>
      <c r="C11" s="11" t="inlineStr">
        <is>
          <t>Voluntary excess +£250</t>
        </is>
      </c>
      <c r="D11" s="20" t="n"/>
      <c r="E11" s="21" t="n"/>
      <c r="F11" s="18" t="n"/>
      <c r="G11" s="22" t="n"/>
      <c r="H11" s="18" t="n"/>
      <c r="I11" s="22" t="n"/>
      <c r="J11" s="22" t="n"/>
      <c r="K11" s="18" t="n"/>
      <c r="L11" s="18" t="n"/>
      <c r="M11" s="16" t="inlineStr"/>
      <c r="N11" s="12">
        <f>IF(AND(B11="Baseline",ISNUMBER(G11)),G11,"")</f>
        <v/>
      </c>
      <c r="O11" s="15">
        <f>IF(AND(B11="Change",ISNUMBER(G11),ISNUMBER(Summary!$C$3)),G11/Summary!$C$3-1,"")</f>
        <v/>
      </c>
    </row>
    <row r="12">
      <c r="A12" s="11" t="n">
        <v>11</v>
      </c>
      <c r="B12" s="11" t="inlineStr">
        <is>
          <t>Change</t>
        </is>
      </c>
      <c r="C12" s="11" t="inlineStr">
        <is>
          <t>Voluntary excess +£500</t>
        </is>
      </c>
      <c r="D12" s="20" t="n"/>
      <c r="E12" s="21" t="n"/>
      <c r="F12" s="18" t="n"/>
      <c r="G12" s="22" t="n"/>
      <c r="H12" s="18" t="n"/>
      <c r="I12" s="22" t="n"/>
      <c r="J12" s="22" t="n"/>
      <c r="K12" s="18" t="n"/>
      <c r="L12" s="18" t="n"/>
      <c r="M12" s="16" t="inlineStr"/>
      <c r="N12" s="12">
        <f>IF(AND(B12="Baseline",ISNUMBER(G12)),G12,"")</f>
        <v/>
      </c>
      <c r="O12" s="15">
        <f>IF(AND(B12="Change",ISNUMBER(G12),ISNUMBER(Summary!$C$3)),G12/Summary!$C$3-1,"")</f>
        <v/>
      </c>
    </row>
    <row r="13">
      <c r="A13" s="19" t="n">
        <v>12</v>
      </c>
      <c r="B13" s="19" t="inlineStr">
        <is>
          <t>Baseline</t>
        </is>
      </c>
      <c r="C13" s="19" t="inlineStr">
        <is>
          <t>Baseline</t>
        </is>
      </c>
      <c r="D13" s="20" t="n"/>
      <c r="E13" s="21" t="n"/>
      <c r="F13" s="18" t="n"/>
      <c r="G13" s="22" t="n"/>
      <c r="H13" s="18" t="n"/>
      <c r="I13" s="22" t="n"/>
      <c r="J13" s="22" t="n"/>
      <c r="K13" s="18" t="n"/>
      <c r="L13" s="18" t="n"/>
      <c r="M13" s="16" t="inlineStr"/>
      <c r="N13" s="12">
        <f>IF(AND(B13="Baseline",ISNUMBER(G13)),G13,"")</f>
        <v/>
      </c>
      <c r="O13" s="15">
        <f>IF(AND(B13="Change",ISNUMBER(G13),ISNUMBER(Summary!$C$3)),G13/Summary!$C$3-1,"")</f>
        <v/>
      </c>
    </row>
    <row r="14">
      <c r="A14" s="11" t="n">
        <v>13</v>
      </c>
      <c r="B14" s="11" t="inlineStr">
        <is>
          <t>Change</t>
        </is>
      </c>
      <c r="C14" s="11" t="inlineStr">
        <is>
          <t>Voluntary excess +£1,000</t>
        </is>
      </c>
      <c r="D14" s="20" t="n"/>
      <c r="E14" s="21" t="n"/>
      <c r="F14" s="18" t="n"/>
      <c r="G14" s="22" t="n"/>
      <c r="H14" s="18" t="n"/>
      <c r="I14" s="22" t="n"/>
      <c r="J14" s="22" t="n"/>
      <c r="K14" s="18" t="n"/>
      <c r="L14" s="18" t="n"/>
      <c r="M14" s="16" t="inlineStr"/>
      <c r="N14" s="12">
        <f>IF(AND(B14="Baseline",ISNUMBER(G14)),G14,"")</f>
        <v/>
      </c>
      <c r="O14" s="15">
        <f>IF(AND(B14="Change",ISNUMBER(G14),ISNUMBER(Summary!$C$3)),G14/Summary!$C$3-1,"")</f>
        <v/>
      </c>
    </row>
    <row r="15">
      <c r="A15" s="11" t="n">
        <v>14</v>
      </c>
      <c r="B15" s="11" t="inlineStr">
        <is>
          <t>Change</t>
        </is>
      </c>
      <c r="C15" s="11" t="inlineStr">
        <is>
          <t>Cover: third party, fire and theft</t>
        </is>
      </c>
      <c r="D15" s="20" t="n"/>
      <c r="E15" s="21" t="n"/>
      <c r="F15" s="18" t="n"/>
      <c r="G15" s="22" t="n"/>
      <c r="H15" s="18" t="n"/>
      <c r="I15" s="22" t="n"/>
      <c r="J15" s="22" t="n"/>
      <c r="K15" s="18" t="n"/>
      <c r="L15" s="18" t="n"/>
      <c r="M15" s="16" t="inlineStr"/>
      <c r="N15" s="12">
        <f>IF(AND(B15="Baseline",ISNUMBER(G15)),G15,"")</f>
        <v/>
      </c>
      <c r="O15" s="15">
        <f>IF(AND(B15="Change",ISNUMBER(G15),ISNUMBER(Summary!$C$3)),G15/Summary!$C$3-1,"")</f>
        <v/>
      </c>
    </row>
    <row r="16">
      <c r="A16" s="11" t="n">
        <v>15</v>
      </c>
      <c r="B16" s="11" t="inlineStr">
        <is>
          <t>Change</t>
        </is>
      </c>
      <c r="C16" s="11" t="inlineStr">
        <is>
          <t>Cover: third party only</t>
        </is>
      </c>
      <c r="D16" s="20" t="n"/>
      <c r="E16" s="21" t="n"/>
      <c r="F16" s="18" t="n"/>
      <c r="G16" s="22" t="n"/>
      <c r="H16" s="18" t="n"/>
      <c r="I16" s="22" t="n"/>
      <c r="J16" s="22" t="n"/>
      <c r="K16" s="18" t="n"/>
      <c r="L16" s="18" t="n"/>
      <c r="M16" s="16" t="inlineStr"/>
      <c r="N16" s="12">
        <f>IF(AND(B16="Baseline",ISNUMBER(G16)),G16,"")</f>
        <v/>
      </c>
      <c r="O16" s="15">
        <f>IF(AND(B16="Change",ISNUMBER(G16),ISNUMBER(Summary!$C$3)),G16/Summary!$C$3-1,"")</f>
        <v/>
      </c>
    </row>
    <row r="17">
      <c r="A17" s="11" t="n">
        <v>16</v>
      </c>
      <c r="B17" s="11" t="inlineStr">
        <is>
          <t>Change</t>
        </is>
      </c>
      <c r="C17" s="11" t="inlineStr">
        <is>
          <t>Black box (telematics) quote</t>
        </is>
      </c>
      <c r="D17" s="20" t="n"/>
      <c r="E17" s="21" t="n"/>
      <c r="F17" s="18" t="n"/>
      <c r="G17" s="22" t="n"/>
      <c r="H17" s="18" t="n"/>
      <c r="I17" s="22" t="n"/>
      <c r="J17" s="22" t="n"/>
      <c r="K17" s="18" t="n"/>
      <c r="L17" s="18" t="n"/>
      <c r="M17" s="16" t="inlineStr">
        <is>
          <t>Record the cheapest black-box price</t>
        </is>
      </c>
      <c r="N17" s="12">
        <f>IF(AND(B17="Baseline",ISNUMBER(G17)),G17,"")</f>
        <v/>
      </c>
      <c r="O17" s="15">
        <f>IF(AND(B17="Change",ISNUMBER(G17),ISNUMBER(Summary!$C$3)),G17/Summary!$C$3-1,"")</f>
        <v/>
      </c>
    </row>
    <row r="18">
      <c r="A18" s="11" t="n">
        <v>17</v>
      </c>
      <c r="B18" s="11" t="inlineStr">
        <is>
          <t>Change</t>
        </is>
      </c>
      <c r="C18" s="11" t="inlineStr">
        <is>
          <t>Start date +1 day</t>
        </is>
      </c>
      <c r="D18" s="20" t="n"/>
      <c r="E18" s="21" t="n"/>
      <c r="F18" s="18" t="n"/>
      <c r="G18" s="22" t="n"/>
      <c r="H18" s="18" t="n"/>
      <c r="I18" s="22" t="n"/>
      <c r="J18" s="22" t="n"/>
      <c r="K18" s="18" t="n"/>
      <c r="L18" s="18" t="n"/>
      <c r="M18" s="16" t="inlineStr"/>
      <c r="N18" s="12">
        <f>IF(AND(B18="Baseline",ISNUMBER(G18)),G18,"")</f>
        <v/>
      </c>
      <c r="O18" s="15">
        <f>IF(AND(B18="Change",ISNUMBER(G18),ISNUMBER(Summary!$C$3)),G18/Summary!$C$3-1,"")</f>
        <v/>
      </c>
    </row>
    <row r="19">
      <c r="A19" s="11" t="n">
        <v>18</v>
      </c>
      <c r="B19" s="11" t="inlineStr">
        <is>
          <t>Change</t>
        </is>
      </c>
      <c r="C19" s="11" t="inlineStr">
        <is>
          <t>Start date +4 weeks</t>
        </is>
      </c>
      <c r="D19" s="20" t="n"/>
      <c r="E19" s="21" t="n"/>
      <c r="F19" s="18" t="n"/>
      <c r="G19" s="22" t="n"/>
      <c r="H19" s="18" t="n"/>
      <c r="I19" s="22" t="n"/>
      <c r="J19" s="22" t="n"/>
      <c r="K19" s="18" t="n"/>
      <c r="L19" s="18" t="n"/>
      <c r="M19" s="16" t="inlineStr"/>
      <c r="N19" s="12">
        <f>IF(AND(B19="Baseline",ISNUMBER(G19)),G19,"")</f>
        <v/>
      </c>
      <c r="O19" s="15">
        <f>IF(AND(B19="Change",ISNUMBER(G19),ISNUMBER(Summary!$C$3)),G19/Summary!$C$3-1,"")</f>
        <v/>
      </c>
    </row>
    <row r="20">
      <c r="A20" s="11" t="n">
        <v>19</v>
      </c>
      <c r="B20" s="11" t="inlineStr">
        <is>
          <t>Change</t>
        </is>
      </c>
      <c r="C20" s="11" t="inlineStr">
        <is>
          <t>Pay monthly (record total payable)</t>
        </is>
      </c>
      <c r="D20" s="20" t="n"/>
      <c r="E20" s="21" t="n"/>
      <c r="F20" s="18" t="n"/>
      <c r="G20" s="22" t="n"/>
      <c r="H20" s="18" t="n"/>
      <c r="I20" s="22" t="n"/>
      <c r="J20" s="22" t="n"/>
      <c r="K20" s="18" t="n"/>
      <c r="L20" s="18" t="n"/>
      <c r="M20" s="16" t="inlineStr">
        <is>
          <t>Use total payable over the year</t>
        </is>
      </c>
      <c r="N20" s="12">
        <f>IF(AND(B20="Baseline",ISNUMBER(G20)),G20,"")</f>
        <v/>
      </c>
      <c r="O20" s="15">
        <f>IF(AND(B20="Change",ISNUMBER(G20),ISNUMBER(Summary!$C$3)),G20/Summary!$C$3-1,"")</f>
        <v/>
      </c>
    </row>
    <row r="21">
      <c r="A21" s="11" t="n">
        <v>20</v>
      </c>
      <c r="B21" s="11" t="inlineStr">
        <is>
          <t>Change</t>
        </is>
      </c>
      <c r="C21" s="11" t="inlineStr">
        <is>
          <t>Alternative job title (also true)</t>
        </is>
      </c>
      <c r="D21" s="20" t="n"/>
      <c r="E21" s="21" t="n"/>
      <c r="F21" s="18" t="n"/>
      <c r="G21" s="22" t="n"/>
      <c r="H21" s="18" t="n"/>
      <c r="I21" s="22" t="n"/>
      <c r="J21" s="22" t="n"/>
      <c r="K21" s="18" t="n"/>
      <c r="L21" s="18" t="n"/>
      <c r="M21" s="16" t="inlineStr">
        <is>
          <t>Only a title that is genuinely accurate</t>
        </is>
      </c>
      <c r="N21" s="12">
        <f>IF(AND(B21="Baseline",ISNUMBER(G21)),G21,"")</f>
        <v/>
      </c>
      <c r="O21" s="15">
        <f>IF(AND(B21="Change",ISNUMBER(G21),ISNUMBER(Summary!$C$3)),G21/Summary!$C$3-1,"")</f>
        <v/>
      </c>
    </row>
    <row r="22">
      <c r="A22" s="11" t="n">
        <v>21</v>
      </c>
      <c r="B22" s="11" t="inlineStr">
        <is>
          <t>Change</t>
        </is>
      </c>
      <c r="C22" s="11" t="inlineStr">
        <is>
          <t>Overnight parking: other option</t>
        </is>
      </c>
      <c r="D22" s="20" t="n"/>
      <c r="E22" s="21" t="n"/>
      <c r="F22" s="18" t="n"/>
      <c r="G22" s="22" t="n"/>
      <c r="H22" s="18" t="n"/>
      <c r="I22" s="22" t="n"/>
      <c r="J22" s="22" t="n"/>
      <c r="K22" s="18" t="n"/>
      <c r="L22" s="18" t="n"/>
      <c r="M22" s="16" t="inlineStr">
        <is>
          <t>Only to learn the effect</t>
        </is>
      </c>
      <c r="N22" s="12">
        <f>IF(AND(B22="Baseline",ISNUMBER(G22)),G22,"")</f>
        <v/>
      </c>
      <c r="O22" s="15">
        <f>IF(AND(B22="Change",ISNUMBER(G22),ISNUMBER(Summary!$C$3)),G22/Summary!$C$3-1,"")</f>
        <v/>
      </c>
    </row>
    <row r="23">
      <c r="A23" s="23" t="n">
        <v>22</v>
      </c>
      <c r="B23" s="23" t="inlineStr">
        <is>
          <t>Change</t>
        </is>
      </c>
      <c r="C23" s="23" t="inlineStr">
        <is>
          <t>Name spelling change</t>
        </is>
      </c>
      <c r="D23" s="20" t="n"/>
      <c r="E23" s="21" t="n"/>
      <c r="F23" s="18" t="n"/>
      <c r="G23" s="22" t="n"/>
      <c r="H23" s="18" t="n"/>
      <c r="I23" s="22" t="n"/>
      <c r="J23" s="22" t="n"/>
      <c r="K23" s="18" t="n"/>
      <c r="L23" s="18" t="n"/>
      <c r="M23" s="24" t="inlineStr">
        <is>
          <t>TEST ONLY. Never publish. Never buy.</t>
        </is>
      </c>
      <c r="N23" s="12">
        <f>IF(AND(B23="Baseline",ISNUMBER(G23)),G23,"")</f>
        <v/>
      </c>
      <c r="O23" s="15">
        <f>IF(AND(B23="Change",ISNUMBER(G23),ISNUMBER(Summary!$C$3)),G23/Summary!$C$3-1,"")</f>
        <v/>
      </c>
    </row>
    <row r="24">
      <c r="A24" s="23" t="n">
        <v>23</v>
      </c>
      <c r="B24" s="23" t="inlineStr">
        <is>
          <t>Change</t>
        </is>
      </c>
      <c r="C24" s="23" t="inlineStr">
        <is>
          <t>Middle name added</t>
        </is>
      </c>
      <c r="D24" s="20" t="n"/>
      <c r="E24" s="21" t="n"/>
      <c r="F24" s="18" t="n"/>
      <c r="G24" s="22" t="n"/>
      <c r="H24" s="18" t="n"/>
      <c r="I24" s="22" t="n"/>
      <c r="J24" s="22" t="n"/>
      <c r="K24" s="18" t="n"/>
      <c r="L24" s="18" t="n"/>
      <c r="M24" s="24" t="inlineStr">
        <is>
          <t>TEST ONLY. Never publish. Never buy.</t>
        </is>
      </c>
      <c r="N24" s="12">
        <f>IF(AND(B24="Baseline",ISNUMBER(G24)),G24,"")</f>
        <v/>
      </c>
      <c r="O24" s="15">
        <f>IF(AND(B24="Change",ISNUMBER(G24),ISNUMBER(Summary!$C$3)),G24/Summary!$C$3-1,"")</f>
        <v/>
      </c>
    </row>
    <row r="25">
      <c r="A25" s="19" t="n">
        <v>24</v>
      </c>
      <c r="B25" s="19" t="inlineStr">
        <is>
          <t>Baseline</t>
        </is>
      </c>
      <c r="C25" s="19" t="inlineStr">
        <is>
          <t>Baseline</t>
        </is>
      </c>
      <c r="D25" s="20" t="n"/>
      <c r="E25" s="21" t="n"/>
      <c r="F25" s="18" t="n"/>
      <c r="G25" s="22" t="n"/>
      <c r="H25" s="18" t="n"/>
      <c r="I25" s="22" t="n"/>
      <c r="J25" s="22" t="n"/>
      <c r="K25" s="18" t="n"/>
      <c r="L25" s="18" t="n"/>
      <c r="M25" s="16" t="inlineStr"/>
      <c r="N25" s="12">
        <f>IF(AND(B25="Baseline",ISNUMBER(G25)),G25,"")</f>
        <v/>
      </c>
      <c r="O25" s="15">
        <f>IF(AND(B25="Change",ISNUMBER(G25),ISNUMBER(Summary!$C$3)),G25/Summary!$C$3-1,"")</f>
        <v/>
      </c>
    </row>
    <row r="26">
      <c r="A26" s="11" t="n">
        <v>25</v>
      </c>
      <c r="B26" s="11" t="inlineStr">
        <is>
          <t>Change</t>
        </is>
      </c>
      <c r="C26" s="11" t="inlineStr">
        <is>
          <t>Add parent 1 as a named driver</t>
        </is>
      </c>
      <c r="D26" s="20" t="n"/>
      <c r="E26" s="21" t="n"/>
      <c r="F26" s="18" t="n"/>
      <c r="G26" s="22" t="n"/>
      <c r="H26" s="18" t="n"/>
      <c r="I26" s="22" t="n"/>
      <c r="J26" s="22" t="n"/>
      <c r="K26" s="18" t="n"/>
      <c r="L26" s="18" t="n"/>
      <c r="M26" s="16" t="inlineStr">
        <is>
          <t>Only if they would genuinely drive</t>
        </is>
      </c>
      <c r="N26" s="12">
        <f>IF(AND(B26="Baseline",ISNUMBER(G26)),G26,"")</f>
        <v/>
      </c>
      <c r="O26" s="15">
        <f>IF(AND(B26="Change",ISNUMBER(G26),ISNUMBER(Summary!$C$3)),G26/Summary!$C$3-1,"")</f>
        <v/>
      </c>
    </row>
    <row r="27">
      <c r="A27" s="11" t="n">
        <v>26</v>
      </c>
      <c r="B27" s="11" t="inlineStr">
        <is>
          <t>Change</t>
        </is>
      </c>
      <c r="C27" s="11" t="inlineStr">
        <is>
          <t>Add parent 2 as a named driver</t>
        </is>
      </c>
      <c r="D27" s="20" t="n"/>
      <c r="E27" s="21" t="n"/>
      <c r="F27" s="18" t="n"/>
      <c r="G27" s="22" t="n"/>
      <c r="H27" s="18" t="n"/>
      <c r="I27" s="22" t="n"/>
      <c r="J27" s="22" t="n"/>
      <c r="K27" s="18" t="n"/>
      <c r="L27" s="18" t="n"/>
      <c r="M27" s="16" t="inlineStr">
        <is>
          <t>Only if they would genuinely drive</t>
        </is>
      </c>
      <c r="N27" s="12">
        <f>IF(AND(B27="Baseline",ISNUMBER(G27)),G27,"")</f>
        <v/>
      </c>
      <c r="O27" s="15">
        <f>IF(AND(B27="Change",ISNUMBER(G27),ISNUMBER(Summary!$C$3)),G27/Summary!$C$3-1,"")</f>
        <v/>
      </c>
    </row>
    <row r="28">
      <c r="A28" s="11" t="n">
        <v>27</v>
      </c>
      <c r="B28" s="11" t="inlineStr">
        <is>
          <t>Change</t>
        </is>
      </c>
      <c r="C28" s="11" t="inlineStr">
        <is>
          <t>Add both parents as named drivers</t>
        </is>
      </c>
      <c r="D28" s="20" t="n"/>
      <c r="E28" s="21" t="n"/>
      <c r="F28" s="18" t="n"/>
      <c r="G28" s="22" t="n"/>
      <c r="H28" s="18" t="n"/>
      <c r="I28" s="22" t="n"/>
      <c r="J28" s="22" t="n"/>
      <c r="K28" s="18" t="n"/>
      <c r="L28" s="18" t="n"/>
      <c r="M28" s="16" t="inlineStr">
        <is>
          <t>Only if they would genuinely drive</t>
        </is>
      </c>
      <c r="N28" s="12">
        <f>IF(AND(B28="Baseline",ISNUMBER(G28)),G28,"")</f>
        <v/>
      </c>
      <c r="O28" s="15">
        <f>IF(AND(B28="Change",ISNUMBER(G28),ISNUMBER(Summary!$C$3)),G28/Summary!$C$3-1,"")</f>
        <v/>
      </c>
    </row>
    <row r="29">
      <c r="A29" s="11" t="n">
        <v>28</v>
      </c>
      <c r="B29" s="11" t="inlineStr">
        <is>
          <t>Change</t>
        </is>
      </c>
      <c r="C29" s="11" t="inlineStr">
        <is>
          <t>Vehicle value +10%</t>
        </is>
      </c>
      <c r="D29" s="20" t="n"/>
      <c r="E29" s="21" t="n"/>
      <c r="F29" s="18" t="n"/>
      <c r="G29" s="22" t="n"/>
      <c r="H29" s="18" t="n"/>
      <c r="I29" s="22" t="n"/>
      <c r="J29" s="22" t="n"/>
      <c r="K29" s="18" t="n"/>
      <c r="L29" s="18" t="n"/>
      <c r="M29" s="16" t="inlineStr"/>
      <c r="N29" s="12">
        <f>IF(AND(B29="Baseline",ISNUMBER(G29)),G29,"")</f>
        <v/>
      </c>
      <c r="O29" s="15">
        <f>IF(AND(B29="Change",ISNUMBER(G29),ISNUMBER(Summary!$C$3)),G29/Summary!$C$3-1,"")</f>
        <v/>
      </c>
    </row>
    <row r="30">
      <c r="A30" s="11" t="n">
        <v>29</v>
      </c>
      <c r="B30" s="11" t="inlineStr">
        <is>
          <t>Change</t>
        </is>
      </c>
      <c r="C30" s="11" t="inlineStr">
        <is>
          <t>Vehicle value -10%</t>
        </is>
      </c>
      <c r="D30" s="20" t="n"/>
      <c r="E30" s="21" t="n"/>
      <c r="F30" s="18" t="n"/>
      <c r="G30" s="22" t="n"/>
      <c r="H30" s="18" t="n"/>
      <c r="I30" s="22" t="n"/>
      <c r="J30" s="22" t="n"/>
      <c r="K30" s="18" t="n"/>
      <c r="L30" s="18" t="n"/>
      <c r="M30" s="16" t="inlineStr"/>
      <c r="N30" s="12">
        <f>IF(AND(B30="Baseline",ISNUMBER(G30)),G30,"")</f>
        <v/>
      </c>
      <c r="O30" s="15">
        <f>IF(AND(B30="Change",ISNUMBER(G30),ISNUMBER(Summary!$C$3)),G30/Summary!$C$3-1,"")</f>
        <v/>
      </c>
    </row>
    <row r="31">
      <c r="A31" s="11" t="n">
        <v>30</v>
      </c>
      <c r="B31" s="11" t="inlineStr">
        <is>
          <t>Change</t>
        </is>
      </c>
      <c r="C31" s="11" t="inlineStr">
        <is>
          <t>Add a tracker</t>
        </is>
      </c>
      <c r="D31" s="20" t="n"/>
      <c r="E31" s="21" t="n"/>
      <c r="F31" s="18" t="n"/>
      <c r="G31" s="22" t="n"/>
      <c r="H31" s="18" t="n"/>
      <c r="I31" s="22" t="n"/>
      <c r="J31" s="22" t="n"/>
      <c r="K31" s="18" t="n"/>
      <c r="L31" s="18" t="n"/>
      <c r="M31" s="16" t="inlineStr"/>
      <c r="N31" s="12">
        <f>IF(AND(B31="Baseline",ISNUMBER(G31)),G31,"")</f>
        <v/>
      </c>
      <c r="O31" s="15">
        <f>IF(AND(B31="Change",ISNUMBER(G31),ISNUMBER(Summary!$C$3)),G31/Summary!$C$3-1,"")</f>
        <v/>
      </c>
    </row>
    <row r="32">
      <c r="A32" s="11" t="n">
        <v>31</v>
      </c>
      <c r="B32" s="11" t="inlineStr">
        <is>
          <t>Change</t>
        </is>
      </c>
      <c r="C32" s="11" t="inlineStr">
        <is>
          <t>Annual mileage -40%</t>
        </is>
      </c>
      <c r="D32" s="20" t="n"/>
      <c r="E32" s="21" t="n"/>
      <c r="F32" s="18" t="n"/>
      <c r="G32" s="22" t="n"/>
      <c r="H32" s="18" t="n"/>
      <c r="I32" s="22" t="n"/>
      <c r="J32" s="22" t="n"/>
      <c r="K32" s="18" t="n"/>
      <c r="L32" s="18" t="n"/>
      <c r="M32" s="16" t="inlineStr"/>
      <c r="N32" s="12">
        <f>IF(AND(B32="Baseline",ISNUMBER(G32)),G32,"")</f>
        <v/>
      </c>
      <c r="O32" s="15">
        <f>IF(AND(B32="Change",ISNUMBER(G32),ISNUMBER(Summary!$C$3)),G32/Summary!$C$3-1,"")</f>
        <v/>
      </c>
    </row>
    <row r="33">
      <c r="A33" s="11" t="n">
        <v>32</v>
      </c>
      <c r="B33" s="11" t="inlineStr">
        <is>
          <t>Change</t>
        </is>
      </c>
      <c r="C33" s="11" t="inlineStr">
        <is>
          <t>Annual mileage +40%</t>
        </is>
      </c>
      <c r="D33" s="20" t="n"/>
      <c r="E33" s="21" t="n"/>
      <c r="F33" s="18" t="n"/>
      <c r="G33" s="22" t="n"/>
      <c r="H33" s="18" t="n"/>
      <c r="I33" s="22" t="n"/>
      <c r="J33" s="22" t="n"/>
      <c r="K33" s="18" t="n"/>
      <c r="L33" s="18" t="n"/>
      <c r="M33" s="16" t="inlineStr"/>
      <c r="N33" s="12">
        <f>IF(AND(B33="Baseline",ISNUMBER(G33)),G33,"")</f>
        <v/>
      </c>
      <c r="O33" s="15">
        <f>IF(AND(B33="Change",ISNUMBER(G33),ISNUMBER(Summary!$C$3)),G33/Summary!$C$3-1,"")</f>
        <v/>
      </c>
    </row>
    <row r="34">
      <c r="A34" s="11" t="n">
        <v>33</v>
      </c>
      <c r="B34" s="11" t="inlineStr">
        <is>
          <t>Change</t>
        </is>
      </c>
      <c r="C34" s="11" t="inlineStr">
        <is>
          <t>Voluntary excess +£250</t>
        </is>
      </c>
      <c r="D34" s="20" t="n"/>
      <c r="E34" s="21" t="n"/>
      <c r="F34" s="18" t="n"/>
      <c r="G34" s="22" t="n"/>
      <c r="H34" s="18" t="n"/>
      <c r="I34" s="22" t="n"/>
      <c r="J34" s="22" t="n"/>
      <c r="K34" s="18" t="n"/>
      <c r="L34" s="18" t="n"/>
      <c r="M34" s="16" t="inlineStr"/>
      <c r="N34" s="12">
        <f>IF(AND(B34="Baseline",ISNUMBER(G34)),G34,"")</f>
        <v/>
      </c>
      <c r="O34" s="15">
        <f>IF(AND(B34="Change",ISNUMBER(G34),ISNUMBER(Summary!$C$3)),G34/Summary!$C$3-1,"")</f>
        <v/>
      </c>
    </row>
    <row r="35">
      <c r="A35" s="11" t="n">
        <v>34</v>
      </c>
      <c r="B35" s="11" t="inlineStr">
        <is>
          <t>Change</t>
        </is>
      </c>
      <c r="C35" s="11" t="inlineStr">
        <is>
          <t>Voluntary excess +£500</t>
        </is>
      </c>
      <c r="D35" s="20" t="n"/>
      <c r="E35" s="21" t="n"/>
      <c r="F35" s="18" t="n"/>
      <c r="G35" s="22" t="n"/>
      <c r="H35" s="18" t="n"/>
      <c r="I35" s="22" t="n"/>
      <c r="J35" s="22" t="n"/>
      <c r="K35" s="18" t="n"/>
      <c r="L35" s="18" t="n"/>
      <c r="M35" s="16" t="inlineStr"/>
      <c r="N35" s="12">
        <f>IF(AND(B35="Baseline",ISNUMBER(G35)),G35,"")</f>
        <v/>
      </c>
      <c r="O35" s="15">
        <f>IF(AND(B35="Change",ISNUMBER(G35),ISNUMBER(Summary!$C$3)),G35/Summary!$C$3-1,"")</f>
        <v/>
      </c>
    </row>
    <row r="36">
      <c r="A36" s="11" t="n">
        <v>35</v>
      </c>
      <c r="B36" s="11" t="inlineStr">
        <is>
          <t>Change</t>
        </is>
      </c>
      <c r="C36" s="11" t="inlineStr">
        <is>
          <t>Voluntary excess +£1,000</t>
        </is>
      </c>
      <c r="D36" s="20" t="n"/>
      <c r="E36" s="21" t="n"/>
      <c r="F36" s="18" t="n"/>
      <c r="G36" s="22" t="n"/>
      <c r="H36" s="18" t="n"/>
      <c r="I36" s="22" t="n"/>
      <c r="J36" s="22" t="n"/>
      <c r="K36" s="18" t="n"/>
      <c r="L36" s="18" t="n"/>
      <c r="M36" s="16" t="inlineStr"/>
      <c r="N36" s="12">
        <f>IF(AND(B36="Baseline",ISNUMBER(G36)),G36,"")</f>
        <v/>
      </c>
      <c r="O36" s="15">
        <f>IF(AND(B36="Change",ISNUMBER(G36),ISNUMBER(Summary!$C$3)),G36/Summary!$C$3-1,"")</f>
        <v/>
      </c>
    </row>
    <row r="37">
      <c r="A37" s="11" t="n">
        <v>36</v>
      </c>
      <c r="B37" s="11" t="inlineStr">
        <is>
          <t>Change</t>
        </is>
      </c>
      <c r="C37" s="11" t="inlineStr">
        <is>
          <t>Cover: third party, fire and theft</t>
        </is>
      </c>
      <c r="D37" s="20" t="n"/>
      <c r="E37" s="21" t="n"/>
      <c r="F37" s="18" t="n"/>
      <c r="G37" s="22" t="n"/>
      <c r="H37" s="18" t="n"/>
      <c r="I37" s="22" t="n"/>
      <c r="J37" s="22" t="n"/>
      <c r="K37" s="18" t="n"/>
      <c r="L37" s="18" t="n"/>
      <c r="M37" s="16" t="inlineStr"/>
      <c r="N37" s="12">
        <f>IF(AND(B37="Baseline",ISNUMBER(G37)),G37,"")</f>
        <v/>
      </c>
      <c r="O37" s="15">
        <f>IF(AND(B37="Change",ISNUMBER(G37),ISNUMBER(Summary!$C$3)),G37/Summary!$C$3-1,"")</f>
        <v/>
      </c>
    </row>
    <row r="38">
      <c r="A38" s="11" t="n">
        <v>37</v>
      </c>
      <c r="B38" s="11" t="inlineStr">
        <is>
          <t>Change</t>
        </is>
      </c>
      <c r="C38" s="11" t="inlineStr">
        <is>
          <t>Cover: third party only</t>
        </is>
      </c>
      <c r="D38" s="20" t="n"/>
      <c r="E38" s="21" t="n"/>
      <c r="F38" s="18" t="n"/>
      <c r="G38" s="22" t="n"/>
      <c r="H38" s="18" t="n"/>
      <c r="I38" s="22" t="n"/>
      <c r="J38" s="22" t="n"/>
      <c r="K38" s="18" t="n"/>
      <c r="L38" s="18" t="n"/>
      <c r="M38" s="16" t="inlineStr"/>
      <c r="N38" s="12">
        <f>IF(AND(B38="Baseline",ISNUMBER(G38)),G38,"")</f>
        <v/>
      </c>
      <c r="O38" s="15">
        <f>IF(AND(B38="Change",ISNUMBER(G38),ISNUMBER(Summary!$C$3)),G38/Summary!$C$3-1,"")</f>
        <v/>
      </c>
    </row>
    <row r="39">
      <c r="A39" s="11" t="n">
        <v>38</v>
      </c>
      <c r="B39" s="11" t="inlineStr">
        <is>
          <t>Change</t>
        </is>
      </c>
      <c r="C39" s="11" t="inlineStr">
        <is>
          <t>Black box (telematics) quote</t>
        </is>
      </c>
      <c r="D39" s="20" t="n"/>
      <c r="E39" s="21" t="n"/>
      <c r="F39" s="18" t="n"/>
      <c r="G39" s="22" t="n"/>
      <c r="H39" s="18" t="n"/>
      <c r="I39" s="22" t="n"/>
      <c r="J39" s="22" t="n"/>
      <c r="K39" s="18" t="n"/>
      <c r="L39" s="18" t="n"/>
      <c r="M39" s="16" t="inlineStr">
        <is>
          <t>Record the cheapest black-box price</t>
        </is>
      </c>
      <c r="N39" s="12">
        <f>IF(AND(B39="Baseline",ISNUMBER(G39)),G39,"")</f>
        <v/>
      </c>
      <c r="O39" s="15">
        <f>IF(AND(B39="Change",ISNUMBER(G39),ISNUMBER(Summary!$C$3)),G39/Summary!$C$3-1,"")</f>
        <v/>
      </c>
    </row>
    <row r="40">
      <c r="A40" s="11" t="n">
        <v>39</v>
      </c>
      <c r="B40" s="11" t="inlineStr">
        <is>
          <t>Change</t>
        </is>
      </c>
      <c r="C40" s="11" t="inlineStr">
        <is>
          <t>Start date +1 day</t>
        </is>
      </c>
      <c r="D40" s="20" t="n"/>
      <c r="E40" s="21" t="n"/>
      <c r="F40" s="18" t="n"/>
      <c r="G40" s="22" t="n"/>
      <c r="H40" s="18" t="n"/>
      <c r="I40" s="22" t="n"/>
      <c r="J40" s="22" t="n"/>
      <c r="K40" s="18" t="n"/>
      <c r="L40" s="18" t="n"/>
      <c r="M40" s="16" t="inlineStr"/>
      <c r="N40" s="12">
        <f>IF(AND(B40="Baseline",ISNUMBER(G40)),G40,"")</f>
        <v/>
      </c>
      <c r="O40" s="15">
        <f>IF(AND(B40="Change",ISNUMBER(G40),ISNUMBER(Summary!$C$3)),G40/Summary!$C$3-1,"")</f>
        <v/>
      </c>
    </row>
    <row r="41">
      <c r="A41" s="11" t="n">
        <v>40</v>
      </c>
      <c r="B41" s="11" t="inlineStr">
        <is>
          <t>Change</t>
        </is>
      </c>
      <c r="C41" s="11" t="inlineStr">
        <is>
          <t>Start date +4 weeks</t>
        </is>
      </c>
      <c r="D41" s="20" t="n"/>
      <c r="E41" s="21" t="n"/>
      <c r="F41" s="18" t="n"/>
      <c r="G41" s="22" t="n"/>
      <c r="H41" s="18" t="n"/>
      <c r="I41" s="22" t="n"/>
      <c r="J41" s="22" t="n"/>
      <c r="K41" s="18" t="n"/>
      <c r="L41" s="18" t="n"/>
      <c r="M41" s="16" t="inlineStr"/>
      <c r="N41" s="12">
        <f>IF(AND(B41="Baseline",ISNUMBER(G41)),G41,"")</f>
        <v/>
      </c>
      <c r="O41" s="15">
        <f>IF(AND(B41="Change",ISNUMBER(G41),ISNUMBER(Summary!$C$3)),G41/Summary!$C$3-1,"")</f>
        <v/>
      </c>
    </row>
    <row r="42">
      <c r="A42" s="11" t="n">
        <v>41</v>
      </c>
      <c r="B42" s="11" t="inlineStr">
        <is>
          <t>Change</t>
        </is>
      </c>
      <c r="C42" s="11" t="inlineStr">
        <is>
          <t>Pay monthly (record total payable)</t>
        </is>
      </c>
      <c r="D42" s="20" t="n"/>
      <c r="E42" s="21" t="n"/>
      <c r="F42" s="18" t="n"/>
      <c r="G42" s="22" t="n"/>
      <c r="H42" s="18" t="n"/>
      <c r="I42" s="22" t="n"/>
      <c r="J42" s="22" t="n"/>
      <c r="K42" s="18" t="n"/>
      <c r="L42" s="18" t="n"/>
      <c r="M42" s="16" t="inlineStr">
        <is>
          <t>Use total payable over the year</t>
        </is>
      </c>
      <c r="N42" s="12">
        <f>IF(AND(B42="Baseline",ISNUMBER(G42)),G42,"")</f>
        <v/>
      </c>
      <c r="O42" s="15">
        <f>IF(AND(B42="Change",ISNUMBER(G42),ISNUMBER(Summary!$C$3)),G42/Summary!$C$3-1,"")</f>
        <v/>
      </c>
    </row>
    <row r="43">
      <c r="A43" s="11" t="n">
        <v>42</v>
      </c>
      <c r="B43" s="11" t="inlineStr">
        <is>
          <t>Change</t>
        </is>
      </c>
      <c r="C43" s="11" t="inlineStr">
        <is>
          <t>Alternative job title (also true)</t>
        </is>
      </c>
      <c r="D43" s="20" t="n"/>
      <c r="E43" s="21" t="n"/>
      <c r="F43" s="18" t="n"/>
      <c r="G43" s="22" t="n"/>
      <c r="H43" s="18" t="n"/>
      <c r="I43" s="22" t="n"/>
      <c r="J43" s="22" t="n"/>
      <c r="K43" s="18" t="n"/>
      <c r="L43" s="18" t="n"/>
      <c r="M43" s="16" t="inlineStr">
        <is>
          <t>Only a title that is genuinely accurate</t>
        </is>
      </c>
      <c r="N43" s="12">
        <f>IF(AND(B43="Baseline",ISNUMBER(G43)),G43,"")</f>
        <v/>
      </c>
      <c r="O43" s="15">
        <f>IF(AND(B43="Change",ISNUMBER(G43),ISNUMBER(Summary!$C$3)),G43/Summary!$C$3-1,"")</f>
        <v/>
      </c>
    </row>
    <row r="44">
      <c r="A44" s="11" t="n">
        <v>43</v>
      </c>
      <c r="B44" s="11" t="inlineStr">
        <is>
          <t>Change</t>
        </is>
      </c>
      <c r="C44" s="11" t="inlineStr">
        <is>
          <t>Overnight parking: other option</t>
        </is>
      </c>
      <c r="D44" s="20" t="n"/>
      <c r="E44" s="21" t="n"/>
      <c r="F44" s="18" t="n"/>
      <c r="G44" s="22" t="n"/>
      <c r="H44" s="18" t="n"/>
      <c r="I44" s="22" t="n"/>
      <c r="J44" s="22" t="n"/>
      <c r="K44" s="18" t="n"/>
      <c r="L44" s="18" t="n"/>
      <c r="M44" s="16" t="inlineStr">
        <is>
          <t>Only to learn the effect</t>
        </is>
      </c>
      <c r="N44" s="12">
        <f>IF(AND(B44="Baseline",ISNUMBER(G44)),G44,"")</f>
        <v/>
      </c>
      <c r="O44" s="15">
        <f>IF(AND(B44="Change",ISNUMBER(G44),ISNUMBER(Summary!$C$3)),G44/Summary!$C$3-1,"")</f>
        <v/>
      </c>
    </row>
    <row r="45">
      <c r="A45" s="23" t="n">
        <v>44</v>
      </c>
      <c r="B45" s="23" t="inlineStr">
        <is>
          <t>Change</t>
        </is>
      </c>
      <c r="C45" s="23" t="inlineStr">
        <is>
          <t>Name spelling change</t>
        </is>
      </c>
      <c r="D45" s="20" t="n"/>
      <c r="E45" s="21" t="n"/>
      <c r="F45" s="18" t="n"/>
      <c r="G45" s="22" t="n"/>
      <c r="H45" s="18" t="n"/>
      <c r="I45" s="22" t="n"/>
      <c r="J45" s="22" t="n"/>
      <c r="K45" s="18" t="n"/>
      <c r="L45" s="18" t="n"/>
      <c r="M45" s="24" t="inlineStr">
        <is>
          <t>TEST ONLY. Never publish. Never buy.</t>
        </is>
      </c>
      <c r="N45" s="12">
        <f>IF(AND(B45="Baseline",ISNUMBER(G45)),G45,"")</f>
        <v/>
      </c>
      <c r="O45" s="15">
        <f>IF(AND(B45="Change",ISNUMBER(G45),ISNUMBER(Summary!$C$3)),G45/Summary!$C$3-1,"")</f>
        <v/>
      </c>
    </row>
    <row r="46">
      <c r="A46" s="23" t="n">
        <v>45</v>
      </c>
      <c r="B46" s="23" t="inlineStr">
        <is>
          <t>Change</t>
        </is>
      </c>
      <c r="C46" s="23" t="inlineStr">
        <is>
          <t>Middle name added</t>
        </is>
      </c>
      <c r="D46" s="20" t="n"/>
      <c r="E46" s="21" t="n"/>
      <c r="F46" s="18" t="n"/>
      <c r="G46" s="22" t="n"/>
      <c r="H46" s="18" t="n"/>
      <c r="I46" s="22" t="n"/>
      <c r="J46" s="22" t="n"/>
      <c r="K46" s="18" t="n"/>
      <c r="L46" s="18" t="n"/>
      <c r="M46" s="24" t="inlineStr">
        <is>
          <t>TEST ONLY. Never publish. Never buy.</t>
        </is>
      </c>
      <c r="N46" s="12">
        <f>IF(AND(B46="Baseline",ISNUMBER(G46)),G46,"")</f>
        <v/>
      </c>
      <c r="O46" s="15">
        <f>IF(AND(B46="Change",ISNUMBER(G46),ISNUMBER(Summary!$C$3)),G46/Summary!$C$3-1,"")</f>
        <v/>
      </c>
    </row>
    <row r="47">
      <c r="A47" s="19" t="n">
        <v>46</v>
      </c>
      <c r="B47" s="19" t="inlineStr">
        <is>
          <t>Baseline</t>
        </is>
      </c>
      <c r="C47" s="19" t="inlineStr">
        <is>
          <t>Baseline</t>
        </is>
      </c>
      <c r="D47" s="20" t="n"/>
      <c r="E47" s="21" t="n"/>
      <c r="F47" s="18" t="n"/>
      <c r="G47" s="22" t="n"/>
      <c r="H47" s="18" t="n"/>
      <c r="I47" s="22" t="n"/>
      <c r="J47" s="22" t="n"/>
      <c r="K47" s="18" t="n"/>
      <c r="L47" s="18" t="n"/>
      <c r="M47" s="16" t="inlineStr"/>
      <c r="N47" s="12">
        <f>IF(AND(B47="Baseline",ISNUMBER(G47)),G47,"")</f>
        <v/>
      </c>
      <c r="O47" s="15">
        <f>IF(AND(B47="Change",ISNUMBER(G47),ISNUMBER(Summary!$C$3)),G47/Summary!$C$3-1,"")</f>
        <v/>
      </c>
    </row>
  </sheetData>
  <conditionalFormatting sqref="O2:O47">
    <cfRule type="cellIs" priority="1" operator="lessThan" dxfId="0">
      <formula>-0.05</formula>
    </cfRule>
    <cfRule type="cellIs" priority="2" operator="greaterThan" dxfId="1">
      <formula>0.05</formula>
    </cfRule>
  </conditionalFormatting>
  <dataValidations count="2">
    <dataValidation sqref="F2:F47" showDropDown="0" showInputMessage="0" showErrorMessage="0" allowBlank="1" type="list">
      <formula1>"Compare the Market,MoneySupermarket,GoCompare,Confused.com,Other"</formula1>
    </dataValidation>
    <dataValidation sqref="K2:K4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2026-10-19T08:35:15Z</dcterms:created>
  <dcterms:modified xsi:type="dcterms:W3CDTF">2026-10-19T08:35:15Z</dcterms:modified>
</cp:coreProperties>
</file>